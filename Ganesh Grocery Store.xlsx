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excel\"/>
    </mc:Choice>
  </mc:AlternateContent>
  <xr:revisionPtr revIDLastSave="0" documentId="13_ncr:1_{672E3186-2655-424C-B499-6FD7F870C709}" xr6:coauthVersionLast="47" xr6:coauthVersionMax="47" xr10:uidLastSave="{00000000-0000-0000-0000-000000000000}"/>
  <bookViews>
    <workbookView xWindow="-120" yWindow="-120" windowWidth="20730" windowHeight="11040" activeTab="1" xr2:uid="{F8420BDF-C08E-4FBB-891B-F574F63AC6D0}"/>
  </bookViews>
  <sheets>
    <sheet name="sheet Design" sheetId="4" r:id="rId1"/>
    <sheet name="Dashboard" sheetId="5" r:id="rId2"/>
    <sheet name="Ganesh Grocery Data" sheetId="1" r:id="rId3"/>
  </sheets>
  <definedNames>
    <definedName name="_xlchart.v2.0" hidden="1">'sheet Design'!$D$81:$D$83</definedName>
    <definedName name="_xlchart.v2.1" hidden="1">'sheet Design'!$E$80</definedName>
    <definedName name="_xlchart.v2.2" hidden="1">'sheet Design'!$E$81:$E$83</definedName>
    <definedName name="_xlchart.v2.3" hidden="1">'sheet Design'!$D$81:$D$83</definedName>
    <definedName name="_xlchart.v2.4" hidden="1">'sheet Design'!$E$80</definedName>
    <definedName name="_xlchart.v2.5" hidden="1">'sheet Design'!$E$81:$E$83</definedName>
    <definedName name="Slicer_Item_Type">#N/A</definedName>
    <definedName name="Slicer_Outlet_Location_Type">#N/A</definedName>
    <definedName name="Slicer_Outlet_Size">#N/A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3" i="4" l="1"/>
  <c r="D82" i="4"/>
  <c r="D81" i="4"/>
  <c r="A7" i="4"/>
  <c r="C7" i="4"/>
  <c r="B7" i="4"/>
  <c r="E82" i="4"/>
  <c r="E81" i="4"/>
  <c r="E83" i="4"/>
  <c r="D7" i="4"/>
</calcChain>
</file>

<file path=xl/sharedStrings.xml><?xml version="1.0" encoding="utf-8"?>
<sst xmlns="http://schemas.openxmlformats.org/spreadsheetml/2006/main" count="59751" uniqueCount="1632">
  <si>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</si>
  <si>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</si>
  <si>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</si>
  <si>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</si>
  <si>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</si>
  <si>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</si>
  <si>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</si>
  <si>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</si>
  <si>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</si>
  <si>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</si>
  <si>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</si>
  <si>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</si>
  <si>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</si>
  <si>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</si>
  <si>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</si>
  <si>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</si>
  <si>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</si>
  <si>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</si>
  <si>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</si>
  <si>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</si>
  <si>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</si>
  <si>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</si>
  <si>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</si>
  <si>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</si>
  <si>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</si>
  <si>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</si>
  <si>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</si>
  <si>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</si>
  <si>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</si>
  <si>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</si>
  <si>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</si>
  <si>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</si>
  <si>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</si>
  <si>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</si>
  <si>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</si>
  <si>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</si>
  <si>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</si>
  <si>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</si>
  <si>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</si>
  <si>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</si>
  <si>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</si>
  <si>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</si>
  <si>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</si>
  <si>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</si>
  <si>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</si>
  <si>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</si>
  <si>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</si>
  <si>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</si>
  <si>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</si>
  <si>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</si>
  <si>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</si>
  <si>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</si>
  <si>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</si>
  <si>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</si>
  <si>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</si>
  <si>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</si>
  <si>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</si>
  <si>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</si>
  <si>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</si>
  <si>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</si>
  <si>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</si>
  <si>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</si>
  <si>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</si>
  <si>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</si>
  <si>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</si>
  <si>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</si>
  <si>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</si>
  <si>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</si>
  <si>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</si>
  <si>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</si>
  <si>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</si>
  <si>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</si>
  <si>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</si>
  <si>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</si>
  <si>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</si>
  <si>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</si>
  <si>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</si>
  <si>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</si>
  <si>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</si>
  <si>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</si>
  <si>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</si>
  <si>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</si>
  <si>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</si>
  <si>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</si>
  <si>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</si>
  <si>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</si>
  <si>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</si>
  <si>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</si>
  <si>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</si>
  <si>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</si>
  <si>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</si>
  <si>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</si>
  <si>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</si>
  <si>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</si>
  <si>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</si>
  <si>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</si>
  <si>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</si>
  <si>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</si>
  <si>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</si>
  <si>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</si>
  <si>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</si>
  <si>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</si>
  <si>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</si>
  <si>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</si>
  <si>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</si>
  <si>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</si>
  <si>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</si>
  <si>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</si>
  <si>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</si>
  <si>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</si>
  <si>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</si>
  <si>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</si>
  <si>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</si>
  <si>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</si>
  <si>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</si>
  <si>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</si>
  <si>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</si>
  <si>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</si>
  <si>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</si>
  <si>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</si>
  <si>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</si>
  <si>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</si>
  <si>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</si>
  <si>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</si>
  <si>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</si>
  <si>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</si>
  <si>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</si>
  <si>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</si>
  <si>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</si>
  <si>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</si>
  <si>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</si>
  <si>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</si>
  <si>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</si>
  <si>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</si>
  <si>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</si>
  <si>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</si>
  <si>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</si>
  <si>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</si>
  <si>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</si>
  <si>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</si>
  <si>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</si>
  <si>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</si>
  <si>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</si>
  <si>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</si>
  <si>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</si>
  <si>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</si>
  <si>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</si>
  <si>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</si>
  <si>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</si>
  <si>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</si>
  <si>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</si>
  <si>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</si>
  <si>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</si>
  <si>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</si>
  <si>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</si>
  <si>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</si>
  <si>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</si>
  <si>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</si>
  <si>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</si>
  <si>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</si>
  <si>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</si>
  <si>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</si>
  <si>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</si>
  <si>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</si>
  <si>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</si>
  <si>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</si>
  <si>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</si>
  <si>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</si>
  <si>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</si>
  <si>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</si>
  <si>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</si>
  <si>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</si>
  <si>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</si>
  <si>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</si>
  <si>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</si>
  <si>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</si>
  <si>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</si>
  <si>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</si>
  <si>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</si>
  <si>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</si>
  <si>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</si>
  <si>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</si>
  <si>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</si>
  <si>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</si>
  <si>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</si>
  <si>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</si>
  <si>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</si>
  <si>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</si>
  <si>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</si>
  <si>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</si>
  <si>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</si>
  <si>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</si>
  <si>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</si>
  <si>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</si>
  <si>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</si>
  <si>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</si>
  <si>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</si>
  <si>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</si>
  <si>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</si>
  <si>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</si>
  <si>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</si>
  <si>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</si>
  <si>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</si>
  <si>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</si>
  <si>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</si>
  <si>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</si>
  <si>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</si>
  <si>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</si>
  <si>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</si>
  <si>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</si>
  <si>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</si>
  <si>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</si>
  <si>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</si>
  <si>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</si>
  <si>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</si>
  <si>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</si>
  <si>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</si>
  <si>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</si>
  <si>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</si>
  <si>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</si>
  <si>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</si>
  <si>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</si>
  <si>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</si>
  <si>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</si>
  <si>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</si>
  <si>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</si>
  <si>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</si>
  <si>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</si>
  <si>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</si>
  <si>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</si>
  <si>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</si>
  <si>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</si>
  <si>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</si>
  <si>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</si>
  <si>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</si>
  <si>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</si>
  <si>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</si>
  <si>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</si>
  <si>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</si>
  <si>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</si>
  <si>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</si>
  <si>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</si>
  <si>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</si>
  <si>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</si>
  <si>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</si>
  <si>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</si>
  <si>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</si>
  <si>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</si>
  <si>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</si>
  <si>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</si>
  <si>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</si>
  <si>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</si>
  <si>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</si>
  <si>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</si>
  <si>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</si>
  <si>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</si>
  <si>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</si>
  <si>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</si>
  <si>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</si>
  <si>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</si>
  <si>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</si>
  <si>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</si>
  <si>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</si>
  <si>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</si>
  <si>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</si>
  <si>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</si>
  <si>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</si>
  <si>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</si>
  <si>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</si>
  <si>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</si>
  <si>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</si>
  <si>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</si>
  <si>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</si>
  <si>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</si>
  <si>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</si>
  <si>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</si>
  <si>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</si>
  <si>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</si>
  <si>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</si>
  <si>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</si>
  <si>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</si>
  <si>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</si>
  <si>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</si>
  <si>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</si>
  <si>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</si>
  <si>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</si>
  <si>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</si>
  <si>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</si>
  <si>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</si>
  <si>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</si>
  <si>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</si>
  <si>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</si>
  <si>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</si>
  <si>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</si>
  <si>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</si>
  <si>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</si>
  <si>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</si>
  <si>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</si>
  <si>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</si>
  <si>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</si>
  <si>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</si>
  <si>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</si>
  <si>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</si>
  <si>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</si>
  <si>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</si>
  <si>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</si>
  <si>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</si>
  <si>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</si>
  <si>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</si>
  <si>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</si>
  <si>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</si>
  <si>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</si>
  <si>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</si>
  <si>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</si>
  <si>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</si>
  <si>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</si>
  <si>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</si>
  <si>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</si>
  <si>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</si>
  <si>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</si>
  <si>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</si>
  <si>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</si>
  <si>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</si>
  <si>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</si>
  <si>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</si>
  <si>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</si>
  <si>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</si>
  <si>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</si>
  <si>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</si>
  <si>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</si>
  <si>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</si>
  <si>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</si>
  <si>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</si>
  <si>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</si>
  <si>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</si>
  <si>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</si>
  <si>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</si>
  <si>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</si>
  <si>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</si>
  <si>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</si>
  <si>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</si>
  <si>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</si>
  <si>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</si>
  <si>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</si>
  <si>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</si>
  <si>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</si>
  <si>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</si>
  <si>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</si>
  <si>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</si>
  <si>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</si>
  <si>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</si>
  <si>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</si>
  <si>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</si>
  <si>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</si>
  <si>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</si>
  <si>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</si>
  <si>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</si>
  <si>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</si>
  <si>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</si>
  <si>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</si>
  <si>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</si>
  <si>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</si>
  <si>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</si>
  <si>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</si>
  <si>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</si>
  <si>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</si>
  <si>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</si>
  <si>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</si>
  <si>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</si>
  <si>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</si>
  <si>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</si>
  <si>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</si>
  <si>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</si>
  <si>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</si>
  <si>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</si>
  <si>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</si>
  <si>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</si>
  <si>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</si>
  <si>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</si>
  <si>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</si>
  <si>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</si>
  <si>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</si>
  <si>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</si>
  <si>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</si>
  <si>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</si>
  <si>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</si>
  <si>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</si>
  <si>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</si>
  <si>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</si>
  <si>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</si>
  <si>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</si>
  <si>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</si>
  <si>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</si>
  <si>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</si>
  <si>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</si>
  <si>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</si>
  <si>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</si>
  <si>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</si>
  <si>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</si>
  <si>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</si>
  <si>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</si>
  <si>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</si>
  <si>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</si>
  <si>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</si>
  <si>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</si>
  <si>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</si>
  <si>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</si>
  <si>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</si>
  <si>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</si>
  <si>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</si>
  <si>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</si>
  <si>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</si>
  <si>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</si>
  <si>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</si>
  <si>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</si>
  <si>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</si>
  <si>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</si>
  <si>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</si>
  <si>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</si>
  <si>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</si>
  <si>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</si>
  <si>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</si>
  <si>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</si>
  <si>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</si>
  <si>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</si>
  <si>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</si>
  <si>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</si>
  <si>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</si>
  <si>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</si>
  <si>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</si>
  <si>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</si>
  <si>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</si>
  <si>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</si>
  <si>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</si>
  <si>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</si>
  <si>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</si>
  <si>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</si>
  <si>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</si>
  <si>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</si>
  <si>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</si>
  <si>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</si>
  <si>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</si>
  <si>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</si>
  <si>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</si>
  <si>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</si>
  <si>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</si>
  <si>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</si>
  <si>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</si>
  <si>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</si>
  <si>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</si>
  <si>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</si>
  <si>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</si>
  <si>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</si>
  <si>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</si>
  <si>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</si>
  <si>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</si>
  <si>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</si>
  <si>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</si>
  <si>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</si>
  <si>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</si>
  <si>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</si>
  <si>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</si>
  <si>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</si>
  <si>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</si>
  <si>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</si>
  <si>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</si>
  <si>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</si>
  <si>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</si>
  <si>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</si>
  <si>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</si>
  <si>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</si>
  <si>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</si>
  <si>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</si>
  <si>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</si>
  <si>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</si>
  <si>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</si>
  <si>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</si>
  <si>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</si>
  <si>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</si>
  <si>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</si>
  <si>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</si>
  <si>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</si>
  <si>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</si>
  <si>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</si>
  <si>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</si>
  <si>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</si>
  <si>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</si>
  <si>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</si>
  <si>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</si>
  <si>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</si>
  <si>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</si>
  <si>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</si>
  <si>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</si>
  <si>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</si>
  <si>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</si>
  <si>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</si>
  <si>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</si>
  <si>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</si>
  <si>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</si>
  <si>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</si>
  <si>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</si>
  <si>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</si>
  <si>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</si>
  <si>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</si>
  <si>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</si>
  <si>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</si>
  <si>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</si>
  <si>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</si>
  <si>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</si>
  <si>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</si>
  <si>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</si>
  <si>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</si>
  <si>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</si>
  <si>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</si>
  <si>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</si>
  <si>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</si>
  <si>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</si>
  <si>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</si>
  <si>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</si>
  <si>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</si>
  <si>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</si>
  <si>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</si>
  <si>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</si>
  <si>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</si>
  <si>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</si>
  <si>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</si>
  <si>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</si>
  <si>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</si>
  <si>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</si>
  <si>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</si>
  <si>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</si>
  <si>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</si>
  <si>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</si>
  <si>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</si>
  <si>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</si>
  <si>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</si>
  <si>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</si>
  <si>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</si>
  <si>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</si>
  <si>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</si>
  <si>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</si>
  <si>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</si>
  <si>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</si>
  <si>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</si>
  <si>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</si>
  <si>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</si>
  <si>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</si>
  <si>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</si>
  <si>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</si>
  <si>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</si>
  <si>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</si>
  <si>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</si>
  <si>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</si>
  <si>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</si>
  <si>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</si>
  <si>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</si>
  <si>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</si>
  <si>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</si>
  <si>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</si>
  <si>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</si>
  <si>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</si>
  <si>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</si>
  <si>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</si>
  <si>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</si>
  <si>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</si>
  <si>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</si>
  <si>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</si>
  <si>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</si>
  <si>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</si>
  <si>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</si>
  <si>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</si>
  <si>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</si>
  <si>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</si>
  <si>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</si>
  <si>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</si>
  <si>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</si>
  <si>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</si>
  <si>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</si>
  <si>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</si>
  <si>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</si>
  <si>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</si>
  <si>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</si>
  <si>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</si>
  <si>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</si>
  <si>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</si>
  <si>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</si>
  <si>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</si>
  <si>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</si>
  <si>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</si>
  <si>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</si>
  <si>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</si>
  <si>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</si>
  <si>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</si>
  <si>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</si>
  <si>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</si>
  <si>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</si>
  <si>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</si>
  <si>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</si>
  <si>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</si>
  <si>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</si>
  <si>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</si>
  <si>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</si>
  <si>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</si>
  <si>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</si>
  <si>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</si>
  <si>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</si>
  <si>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</si>
  <si>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</si>
  <si>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</si>
  <si>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</si>
  <si>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</si>
  <si>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</si>
  <si>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</si>
  <si>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</si>
  <si>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</si>
  <si>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</si>
  <si>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</si>
  <si>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</si>
  <si>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</si>
  <si>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</si>
  <si>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</si>
  <si>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</si>
  <si>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</si>
  <si>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</si>
  <si>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</si>
  <si>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</si>
  <si>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</si>
  <si>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</si>
  <si>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</si>
  <si>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</si>
  <si>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</si>
  <si>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</si>
  <si>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</si>
  <si>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</si>
  <si>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</si>
  <si>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</si>
  <si>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</si>
  <si>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</si>
  <si>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</si>
  <si>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</si>
  <si>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</si>
  <si>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</si>
  <si>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</si>
  <si>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</si>
  <si>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</si>
  <si>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</si>
  <si>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</si>
  <si>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</si>
  <si>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</si>
  <si>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</si>
  <si>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</si>
  <si>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</si>
  <si>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</si>
  <si>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</si>
  <si>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</si>
  <si>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</si>
  <si>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</si>
  <si>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</si>
  <si>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</si>
  <si>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</si>
  <si>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</si>
  <si>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</si>
  <si>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</si>
  <si>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</si>
  <si>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</si>
  <si>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</si>
  <si>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</si>
  <si>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</si>
  <si>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</si>
  <si>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</si>
  <si>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</si>
  <si>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</si>
  <si>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</si>
  <si>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</si>
  <si>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</si>
  <si>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</si>
  <si>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</si>
  <si>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</si>
  <si>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</si>
  <si>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</si>
  <si>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</si>
  <si>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</si>
  <si>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</si>
  <si>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</si>
  <si>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</si>
  <si>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</si>
  <si>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</si>
  <si>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</si>
  <si>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</si>
  <si>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</si>
  <si>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</si>
  <si>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</si>
  <si>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</si>
  <si>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</si>
  <si>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</si>
  <si>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</si>
  <si>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</si>
  <si>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</si>
  <si>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</si>
  <si>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</si>
  <si>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</si>
  <si>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</si>
  <si>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</si>
  <si>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</si>
  <si>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</si>
  <si>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</si>
  <si>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</si>
  <si>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</si>
  <si>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</si>
  <si>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</si>
  <si>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</si>
  <si>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</si>
  <si>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</si>
  <si>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</si>
  <si>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</si>
  <si>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</si>
  <si>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</si>
  <si>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</si>
  <si>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</si>
  <si>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</si>
  <si>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</si>
  <si>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</si>
  <si>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</si>
  <si>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</si>
  <si>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</si>
  <si>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</si>
  <si>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</si>
  <si>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</si>
  <si>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</si>
  <si>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</si>
  <si>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</si>
  <si>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</si>
  <si>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</si>
  <si>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</si>
  <si>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</si>
  <si>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</si>
  <si>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</si>
  <si>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</si>
  <si>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</si>
  <si>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</si>
  <si>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</si>
  <si>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</si>
  <si>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</si>
  <si>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</si>
  <si>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</si>
  <si>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</si>
  <si>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</si>
  <si>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</si>
  <si>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</si>
  <si>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</si>
  <si>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</si>
  <si>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</si>
  <si>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</si>
  <si>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</si>
  <si>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</si>
  <si>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</si>
  <si>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</si>
  <si>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</si>
  <si>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</si>
  <si>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</si>
  <si>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</si>
  <si>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</si>
  <si>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</si>
  <si>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</si>
  <si>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</si>
  <si>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</si>
  <si>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</si>
  <si>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</si>
  <si>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</si>
  <si>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</si>
  <si>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</si>
  <si>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</si>
  <si>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</si>
  <si>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</si>
  <si>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</si>
  <si>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</si>
  <si>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</si>
  <si>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</si>
  <si>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</si>
  <si>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</si>
  <si>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</si>
  <si>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</si>
  <si>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</si>
  <si>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</si>
  <si>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</si>
  <si>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</si>
  <si>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</si>
  <si>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</si>
  <si>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</si>
  <si>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</si>
  <si>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</si>
  <si>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</si>
  <si>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</si>
  <si>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</si>
  <si>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</si>
  <si>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</si>
  <si>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</si>
  <si>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</si>
  <si>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</si>
  <si>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</si>
  <si>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</si>
  <si>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</si>
  <si>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</si>
  <si>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</si>
  <si>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</si>
  <si>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</si>
  <si>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</si>
  <si>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</si>
  <si>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</si>
  <si>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</si>
  <si>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</si>
  <si>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</si>
  <si>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</si>
  <si>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</si>
  <si>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</si>
  <si>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</si>
  <si>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</si>
  <si>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</si>
  <si>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</si>
  <si>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</si>
  <si>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</si>
  <si>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</si>
  <si>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</si>
  <si>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</si>
  <si>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</si>
  <si>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</si>
  <si>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</si>
  <si>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</si>
  <si>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</si>
  <si>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</si>
  <si>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</si>
  <si>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</si>
  <si>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</si>
  <si>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</si>
  <si>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</si>
  <si>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</si>
  <si>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</si>
  <si>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</si>
  <si>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</si>
  <si>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</si>
  <si>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</si>
  <si>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</si>
  <si>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</si>
  <si>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</si>
  <si>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</si>
  <si>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</si>
  <si>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</si>
  <si>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</si>
  <si>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</si>
  <si>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</si>
  <si>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</si>
  <si>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</si>
  <si>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</si>
  <si>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</si>
  <si>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</si>
  <si>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</si>
  <si>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</si>
  <si>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</si>
  <si>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</si>
  <si>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</si>
  <si>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</si>
  <si>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</si>
  <si>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</si>
  <si>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</si>
  <si>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</si>
  <si>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</si>
  <si>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</si>
  <si>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</si>
  <si>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</si>
  <si>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</si>
  <si>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</si>
  <si>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</si>
  <si>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</si>
  <si>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</si>
  <si>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</si>
  <si>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</si>
  <si>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</si>
  <si>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</si>
  <si>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</si>
  <si>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</si>
  <si>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</si>
  <si>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</si>
  <si>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</si>
  <si>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</si>
  <si>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</si>
  <si>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</si>
  <si>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</si>
  <si>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</si>
  <si>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</si>
  <si>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</si>
  <si>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</si>
  <si>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</si>
  <si>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</si>
  <si>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</si>
  <si>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</si>
  <si>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</si>
  <si>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</si>
  <si>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</si>
  <si>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</si>
  <si>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</si>
  <si>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</si>
  <si>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</si>
  <si>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</si>
  <si>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</si>
  <si>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</si>
  <si>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</si>
  <si>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</si>
  <si>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</si>
  <si>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</si>
  <si>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</si>
  <si>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</si>
  <si>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</si>
  <si>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</si>
  <si>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</si>
  <si>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</si>
  <si>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</si>
  <si>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</si>
  <si>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</si>
  <si>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</si>
  <si>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</si>
  <si>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</si>
  <si>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</si>
  <si>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</si>
  <si>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</si>
  <si>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</si>
  <si>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</si>
  <si>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</si>
  <si>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</si>
  <si>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</si>
  <si>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</si>
  <si>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</si>
  <si>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</si>
  <si>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</si>
  <si>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</si>
  <si>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</si>
  <si>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</si>
  <si>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</si>
  <si>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</si>
  <si>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</si>
  <si>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</si>
  <si>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</si>
  <si>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</si>
  <si>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</si>
  <si>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</si>
  <si>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</si>
  <si>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</si>
  <si>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</si>
  <si>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</si>
  <si>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</si>
  <si>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</si>
  <si>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</si>
  <si>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</si>
  <si>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</si>
  <si>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</si>
  <si>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</si>
  <si>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</si>
  <si>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</si>
  <si>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</si>
  <si>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</si>
  <si>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</si>
  <si>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</si>
  <si>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</si>
  <si>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</si>
  <si>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</si>
  <si>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</si>
  <si>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</si>
  <si>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</si>
  <si>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</si>
  <si>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</si>
  <si>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</si>
  <si>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</si>
  <si>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</si>
  <si>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</si>
  <si>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</si>
  <si>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</si>
  <si>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</si>
  <si>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</si>
  <si>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</si>
  <si>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</si>
  <si>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</si>
  <si>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</si>
  <si>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</si>
  <si>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</si>
  <si>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</si>
  <si>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</si>
  <si>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</si>
  <si>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</si>
  <si>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</si>
  <si>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</si>
  <si>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</si>
  <si>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</si>
  <si>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</si>
  <si>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</si>
  <si>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</si>
  <si>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</si>
  <si>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</si>
  <si>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</si>
  <si>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</si>
  <si>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</si>
  <si>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</si>
  <si>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</si>
  <si>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</si>
  <si>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</si>
  <si>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</si>
  <si>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</si>
  <si>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</si>
  <si>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</si>
  <si>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</si>
  <si>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</si>
  <si>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</si>
  <si>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</si>
  <si>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</si>
  <si>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</si>
  <si>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</si>
  <si>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</si>
  <si>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</si>
  <si>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</si>
  <si>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</si>
  <si>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</si>
  <si>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</si>
  <si>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</si>
  <si>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</si>
  <si>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</si>
  <si>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</si>
  <si>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</si>
  <si>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</si>
  <si>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</si>
  <si>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</si>
  <si>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</si>
  <si>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</si>
  <si>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</si>
  <si>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</si>
  <si>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</si>
  <si>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</si>
  <si>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</si>
  <si>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</si>
  <si>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</si>
  <si>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</si>
  <si>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</si>
  <si>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</si>
  <si>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</si>
  <si>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</si>
  <si>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</si>
  <si>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</si>
  <si>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</si>
  <si>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</si>
  <si>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</si>
  <si>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</si>
  <si>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</si>
  <si>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</si>
  <si>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</si>
  <si>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</si>
  <si>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</si>
  <si>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</si>
  <si>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</si>
  <si>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</si>
  <si>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</si>
  <si>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</si>
  <si>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</si>
  <si>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</si>
  <si>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</si>
  <si>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</si>
  <si>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</si>
  <si>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</si>
  <si>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</si>
  <si>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</si>
  <si>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</si>
  <si>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</si>
  <si>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</si>
  <si>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</si>
  <si>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</si>
  <si>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</si>
  <si>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</si>
  <si>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</si>
  <si>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</si>
  <si>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</si>
  <si>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</si>
  <si>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</si>
  <si>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</si>
  <si>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</si>
  <si>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</si>
  <si>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</si>
  <si>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</si>
  <si>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</si>
  <si>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</si>
  <si>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</si>
  <si>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</si>
  <si>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</si>
  <si>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</si>
  <si>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</si>
  <si>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</si>
  <si>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</si>
  <si>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</si>
  <si>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</si>
  <si>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</si>
  <si>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</si>
  <si>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</si>
  <si>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</si>
  <si>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</si>
  <si>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</si>
  <si>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</si>
  <si>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</si>
  <si>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</si>
  <si>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</si>
  <si>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</si>
  <si>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</si>
  <si>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</si>
  <si>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</si>
  <si>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</si>
  <si>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</si>
  <si>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</si>
  <si>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</si>
  <si>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</si>
  <si>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</si>
  <si>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</si>
  <si>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</si>
  <si>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</si>
  <si>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</si>
  <si>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</si>
  <si>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</si>
  <si>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</si>
  <si>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</si>
  <si>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</si>
  <si>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</si>
  <si>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</si>
  <si>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</si>
  <si>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</si>
  <si>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</si>
  <si>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</si>
  <si>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</si>
  <si>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</si>
  <si>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</si>
  <si>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</si>
  <si>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</si>
  <si>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</si>
  <si>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</si>
  <si>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</si>
  <si>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</si>
  <si>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</si>
  <si>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</si>
  <si>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</si>
  <si>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</si>
  <si>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</si>
  <si>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</si>
  <si>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</si>
  <si>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</si>
  <si>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</si>
  <si>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</si>
  <si>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</si>
  <si>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</si>
  <si>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</si>
  <si>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</si>
  <si>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</si>
  <si>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</si>
  <si>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</si>
  <si>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</si>
  <si>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</si>
  <si>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</si>
  <si>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</si>
  <si>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</si>
  <si>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</si>
  <si>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</si>
  <si>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</si>
  <si>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</si>
  <si>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</si>
  <si>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</si>
  <si>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</si>
  <si>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</si>
  <si>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</si>
  <si>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</si>
  <si>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</si>
  <si>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</si>
  <si>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</si>
  <si>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</si>
  <si>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</si>
  <si>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</si>
  <si>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</si>
  <si>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</si>
  <si>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</si>
  <si>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</si>
  <si>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</si>
  <si>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</si>
  <si>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</si>
  <si>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</si>
  <si>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</si>
  <si>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</si>
  <si>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</si>
  <si>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</si>
  <si>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</si>
  <si>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</si>
  <si>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</si>
  <si>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</si>
  <si>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</si>
  <si>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</si>
  <si>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</si>
  <si>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</si>
  <si>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</si>
  <si>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</si>
  <si>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</si>
  <si>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</si>
  <si>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</si>
  <si>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</si>
  <si>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</si>
  <si>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</si>
  <si>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</si>
  <si>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</si>
  <si>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</si>
  <si>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</si>
  <si>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</si>
  <si>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</si>
  <si>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</si>
  <si>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</si>
  <si>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</si>
  <si>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</si>
  <si>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</si>
  <si>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</si>
  <si>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</si>
  <si>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</si>
  <si>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</si>
  <si>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</si>
  <si>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</si>
  <si>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</si>
  <si>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</si>
  <si>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</si>
  <si>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</si>
  <si>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</si>
  <si>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</si>
  <si>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</si>
  <si>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</si>
  <si>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</si>
  <si>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</si>
  <si>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</si>
  <si>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</si>
  <si>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</si>
  <si>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</si>
  <si>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</si>
  <si>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</si>
  <si>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</si>
  <si>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</si>
  <si>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</si>
  <si>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</si>
  <si>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</si>
  <si>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</si>
  <si>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</si>
  <si>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</si>
  <si>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</si>
  <si>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</si>
  <si>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</si>
  <si>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</si>
  <si>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</si>
  <si>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</si>
  <si>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</si>
  <si>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</si>
  <si>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</si>
  <si>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</si>
  <si>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</si>
  <si>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</si>
  <si>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</si>
  <si>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</si>
  <si>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</si>
  <si>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</si>
  <si>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</si>
  <si>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</si>
  <si>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</si>
  <si>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</si>
  <si>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</si>
  <si>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</si>
  <si>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</si>
  <si>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</si>
  <si>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</si>
  <si>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</si>
  <si>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</si>
  <si>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</si>
  <si>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</si>
  <si>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</si>
  <si>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</si>
  <si>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</si>
  <si>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</si>
  <si>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</si>
  <si>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</si>
  <si>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</si>
  <si>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</si>
  <si>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</si>
  <si>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</si>
  <si>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</si>
  <si>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</si>
  <si>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</si>
  <si>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</si>
  <si>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</si>
  <si>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</si>
  <si>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</si>
  <si>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</si>
  <si>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</si>
  <si>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</si>
  <si>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</si>
  <si>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</si>
  <si>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</si>
  <si>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</si>
  <si>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</si>
  <si>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</si>
  <si>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</si>
  <si>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</si>
  <si>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</si>
  <si>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</si>
  <si>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</si>
  <si>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</si>
  <si>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</si>
  <si>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</si>
  <si>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</si>
  <si>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</si>
  <si>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</si>
  <si>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</si>
  <si>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</si>
  <si>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</si>
  <si>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</si>
  <si>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</si>
  <si>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</si>
  <si>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</si>
  <si>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</si>
  <si>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</si>
  <si>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</si>
  <si>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</si>
  <si>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</si>
  <si>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</si>
  <si>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</si>
  <si>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</si>
  <si>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</si>
  <si>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</si>
  <si>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</si>
  <si>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</si>
  <si>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</si>
  <si>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</si>
  <si>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</si>
  <si>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</si>
  <si>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</si>
  <si>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</si>
  <si>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</si>
  <si>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</si>
  <si>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</si>
  <si>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</si>
  <si>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</si>
  <si>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</si>
  <si>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</si>
  <si>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</si>
  <si>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</si>
  <si>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</si>
  <si>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</si>
  <si>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</si>
  <si>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</si>
  <si>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</si>
  <si>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</si>
  <si>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</si>
  <si>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</si>
  <si>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</si>
  <si>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</si>
  <si>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</si>
  <si>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</si>
  <si>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</si>
  <si>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</si>
  <si>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</si>
  <si>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</si>
  <si>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</si>
  <si>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</si>
  <si>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</si>
  <si>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</si>
  <si>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</si>
  <si>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</si>
  <si>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</si>
  <si>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</si>
  <si>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</si>
  <si>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</si>
  <si>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</si>
  <si>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</si>
  <si>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</si>
  <si>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</si>
  <si>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</si>
  <si>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</si>
  <si>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</si>
  <si>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</si>
  <si>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</si>
  <si>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</si>
  <si>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</si>
  <si>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</si>
  <si>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</si>
  <si>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</si>
  <si>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</si>
  <si>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</si>
  <si>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</si>
  <si>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</si>
  <si>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</si>
  <si>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</si>
  <si>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</si>
  <si>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</si>
  <si>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</si>
  <si>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</si>
  <si>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</si>
  <si>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</si>
  <si>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</si>
  <si>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</si>
  <si>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</si>
  <si>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</si>
  <si>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</si>
  <si>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</si>
  <si>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</si>
  <si>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</si>
  <si>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</si>
  <si>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</si>
  <si>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</si>
  <si>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</si>
  <si>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</si>
  <si>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</si>
  <si>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</si>
  <si>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</si>
  <si>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</si>
  <si>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</si>
  <si>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</si>
  <si>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</si>
  <si>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</si>
  <si>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</si>
  <si>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</si>
  <si>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</si>
  <si>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</si>
  <si>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</si>
  <si>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</si>
  <si>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</si>
  <si>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</si>
  <si>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</si>
  <si>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</si>
  <si>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</si>
  <si>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</si>
  <si>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</si>
  <si>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</si>
  <si>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</si>
  <si>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</si>
  <si>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</si>
  <si>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</si>
  <si>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</si>
  <si>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</si>
  <si>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</si>
  <si>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</si>
  <si>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</si>
  <si>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</si>
  <si>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</si>
  <si>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</si>
  <si>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</si>
  <si>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</si>
  <si>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</si>
  <si>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</si>
  <si>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</si>
  <si>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</si>
  <si>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</si>
  <si>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</si>
  <si>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</si>
  <si>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</si>
  <si>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</si>
  <si>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</si>
  <si>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</si>
  <si>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</si>
  <si>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</si>
  <si>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</si>
  <si>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</si>
  <si>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</si>
  <si>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</si>
  <si>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</si>
  <si>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</si>
  <si>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</si>
  <si>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</si>
  <si>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</si>
  <si>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</si>
  <si>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</si>
  <si>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</si>
  <si>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</si>
  <si>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</si>
  <si>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</si>
  <si>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</si>
  <si>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</si>
  <si>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</si>
  <si>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</si>
  <si>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</si>
  <si>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</si>
  <si>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</si>
  <si>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</si>
  <si>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</si>
  <si>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</si>
  <si>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</si>
  <si>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</si>
  <si>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</si>
  <si>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</si>
  <si>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</si>
  <si>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</si>
  <si>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</si>
  <si>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</si>
  <si>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</si>
  <si>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</si>
  <si>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</si>
  <si>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</si>
  <si>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</si>
  <si>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</si>
  <si>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</si>
  <si>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</si>
  <si>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</si>
  <si>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</si>
  <si>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</si>
  <si>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</si>
  <si>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</si>
  <si>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</si>
  <si>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</si>
  <si>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</si>
  <si>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</si>
  <si>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</si>
  <si>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</si>
  <si>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</si>
  <si>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</si>
  <si>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</si>
  <si>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</si>
  <si>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</si>
  <si>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</si>
  <si>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</si>
  <si>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</si>
  <si>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</si>
  <si>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</si>
  <si>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</si>
  <si>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</si>
  <si>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</si>
  <si>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</si>
  <si>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</si>
  <si>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</si>
  <si>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</si>
  <si>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</si>
  <si>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</si>
  <si>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</si>
  <si>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</si>
  <si>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</si>
  <si>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</si>
  <si>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</si>
  <si>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</si>
  <si>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</si>
  <si>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</si>
  <si>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</si>
  <si>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</si>
  <si>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</si>
  <si>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</si>
  <si>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</si>
  <si>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</si>
  <si>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</si>
  <si>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</si>
  <si>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</si>
  <si>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</si>
  <si>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</si>
  <si>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</si>
  <si>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</si>
  <si>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</si>
  <si>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</si>
  <si>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</si>
  <si>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</si>
  <si>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</si>
  <si>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</si>
  <si>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</si>
  <si>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</si>
  <si>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</si>
  <si>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</si>
  <si>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</si>
  <si>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</si>
  <si>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</si>
  <si>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</si>
  <si>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</si>
  <si>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</si>
  <si>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</si>
  <si>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</si>
  <si>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</si>
  <si>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</si>
  <si>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</si>
  <si>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</si>
  <si>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</si>
  <si>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</si>
  <si>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</si>
  <si>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</si>
  <si>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</si>
  <si>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</si>
  <si>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</si>
  <si>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</si>
  <si>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</si>
  <si>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</si>
  <si>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</si>
  <si>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</si>
  <si>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</si>
  <si>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</si>
  <si>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</si>
  <si>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</si>
  <si>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</si>
  <si>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</si>
  <si>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</si>
  <si>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</si>
  <si>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</si>
  <si>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</si>
  <si>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</si>
  <si>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</si>
  <si>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</si>
  <si>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</si>
  <si>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</si>
  <si>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</si>
  <si>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</si>
  <si>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</si>
  <si>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</si>
  <si>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</si>
  <si>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</si>
  <si>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</si>
  <si>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</si>
  <si>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</si>
  <si>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</si>
  <si>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</si>
  <si>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Total Sales</t>
  </si>
  <si>
    <t>Sum of Total Sales</t>
  </si>
  <si>
    <t>Average Sales</t>
  </si>
  <si>
    <t>Sr No</t>
  </si>
  <si>
    <t>Number of Items</t>
  </si>
  <si>
    <t>Average of Rating</t>
  </si>
  <si>
    <t>Avg Sales</t>
  </si>
  <si>
    <t>No of Items</t>
  </si>
  <si>
    <t>Avg Rating</t>
  </si>
  <si>
    <t>Total sales by Fat Content</t>
  </si>
  <si>
    <t>Column Labels</t>
  </si>
  <si>
    <t>Total Sales by Item Type</t>
  </si>
  <si>
    <t>Fat Content by Outlet for Total Sales</t>
  </si>
  <si>
    <t>Total Sales by Outiler Establishment</t>
  </si>
  <si>
    <t>Sales by Outlet Size</t>
  </si>
  <si>
    <t>Outlet Location</t>
  </si>
  <si>
    <t>Sales by Outlet Location</t>
  </si>
  <si>
    <t>Average of Total Sales</t>
  </si>
  <si>
    <t>Count of Total Sales</t>
  </si>
  <si>
    <t>All Mertrics by Outert Type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</si>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</sst>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7" xfId="0" applyBorder="1"/>
    <xf numFmtId="0" fontId="0" fillId="0" borderId="19" xfId="0" applyBorder="1"/>
    <xf numFmtId="0" fontId="0" fillId="0" borderId="20" xfId="0" applyBorder="1"/>
    <xf numFmtId="0" fontId="0" fillId="0" borderId="21" xfId="0" applyBorder="1"/>
    <xf numFmtId="164" fontId="0" fillId="0" borderId="0" xfId="0" applyNumberFormat="1"/>
    <xf numFmtId="165" fontId="0" fillId="0" borderId="15" xfId="0" applyNumberFormat="1" applyBorder="1"/>
    <xf numFmtId="0" fontId="0" fillId="0" borderId="16" xfId="0" applyBorder="1"/>
    <xf numFmtId="0" fontId="0" fillId="0" borderId="18" xfId="0" applyBorder="1"/>
    <xf numFmtId="166" fontId="0" fillId="0" borderId="14" xfId="0" applyNumberFormat="1" applyBorder="1"/>
    <xf numFmtId="0" fontId="0" fillId="0" borderId="23" xfId="0" applyBorder="1" applyAlignment="1">
      <alignment horizontal="left"/>
    </xf>
    <xf numFmtId="0" fontId="0" fillId="0" borderId="24" xfId="0" applyBorder="1" applyAlignment="1">
      <alignment horizontal="left"/>
    </xf>
    <xf numFmtId="167" fontId="0" fillId="0" borderId="22" xfId="0" applyNumberFormat="1" applyBorder="1"/>
    <xf numFmtId="167" fontId="0" fillId="0" borderId="24" xfId="0" applyNumberFormat="1"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15" xfId="0" applyNumberFormat="1" applyBorder="1"/>
    <xf numFmtId="167" fontId="0" fillId="0" borderId="18" xfId="0" applyNumberFormat="1" applyBorder="1"/>
    <xf numFmtId="167" fontId="0" fillId="0" borderId="23" xfId="0" applyNumberFormat="1" applyBorder="1"/>
    <xf numFmtId="167" fontId="0" fillId="0" borderId="0" xfId="0" applyNumberFormat="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164" fontId="0" fillId="0" borderId="22" xfId="0" applyNumberFormat="1" applyBorder="1"/>
    <xf numFmtId="164" fontId="0" fillId="0" borderId="24" xfId="0" applyNumberFormat="1" applyBorder="1"/>
    <xf numFmtId="1" fontId="0" fillId="0" borderId="22" xfId="0" applyNumberFormat="1" applyBorder="1"/>
    <xf numFmtId="1" fontId="0" fillId="0" borderId="24" xfId="0" applyNumberFormat="1" applyBorder="1"/>
    <xf numFmtId="164" fontId="0" fillId="0" borderId="23" xfId="0" applyNumberFormat="1" applyBorder="1"/>
    <xf numFmtId="1" fontId="0" fillId="0" borderId="23" xfId="0" applyNumberFormat="1" applyBorder="1"/>
    <xf numFmtId="0" fontId="0" fillId="0" borderId="19" xfId="0" applyBorder="1" applyAlignment="1">
      <alignment horizontal="center"/>
    </xf>
    <xf numFmtId="0" fontId="0" fillId="0" borderId="20" xfId="0"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09">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 formatCode="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quot;₹&quot;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 formatCode="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quot;₹&quot;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 formatCode="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quot;₹&quot;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 formatCode="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quot;₹&quot;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 formatCode="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quot;₹&quot;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 formatCode="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quot;₹&quot;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quot;₹&quot;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 formatCode="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7" formatCode="&quot;₹&quot;0.0,&quot;K&quo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color theme="1"/>
      </font>
      <border>
        <bottom style="thin">
          <color theme="9"/>
        </bottom>
        <vertical/>
        <horizontal/>
      </border>
    </dxf>
    <dxf>
      <font>
        <color theme="1"/>
      </font>
      <fill>
        <patternFill>
          <bgColor rgb="FF98FB98"/>
        </patternFill>
      </fill>
      <border>
        <left style="medium">
          <color theme="9"/>
        </left>
        <right style="medium">
          <color theme="9"/>
        </right>
        <top style="medium">
          <color theme="9"/>
        </top>
        <bottom style="medium">
          <color theme="9"/>
        </bottom>
        <vertical/>
        <horizontal/>
      </border>
    </dxf>
  </dxfs>
  <tableStyles count="1" defaultTableStyle="TableStyleMedium2" defaultPivotStyle="PivotStyleLight16">
    <tableStyle name="Ganesh Anaysis" pivot="0" table="0" count="10" xr9:uid="{5D9E81DB-87F0-4D99-9A36-BC0CC42D5319}">
      <tableStyleElement type="wholeTable" dxfId="708"/>
      <tableStyleElement type="headerRow" dxfId="707"/>
    </tableStyle>
  </tableStyles>
  <colors>
    <mruColors>
      <color rgb="FF98FB98"/>
      <color rgb="FF23FD38"/>
      <color rgb="FF56244B"/>
      <color rgb="FF964B00"/>
      <color rgb="FF981C89"/>
      <color rgb="FFCC6600"/>
      <color rgb="FF0064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anesh Ana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A8-4297-B797-2D5549D2DE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A8-4297-B797-2D5549D2DED5}"/>
              </c:ext>
            </c:extLst>
          </c:dPt>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80A0-4C87-8D6C-6A8F12F3E9D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Design!PivotTable10</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Design'!$B$24:$B$25</c:f>
              <c:strCache>
                <c:ptCount val="1"/>
                <c:pt idx="0">
                  <c:v>Regular</c:v>
                </c:pt>
              </c:strCache>
            </c:strRef>
          </c:tx>
          <c:spPr>
            <a:solidFill>
              <a:schemeClr val="accent1"/>
            </a:solidFill>
            <a:ln>
              <a:noFill/>
            </a:ln>
            <a:effectLst/>
          </c:spPr>
          <c:invertIfNegative val="0"/>
          <c:cat>
            <c:strRef>
              <c:f>'sheet Design'!$A$26:$A$28</c:f>
              <c:strCache>
                <c:ptCount val="3"/>
                <c:pt idx="0">
                  <c:v>Tier 1</c:v>
                </c:pt>
                <c:pt idx="1">
                  <c:v>Tier 2</c:v>
                </c:pt>
                <c:pt idx="2">
                  <c:v>Tier 3</c:v>
                </c:pt>
              </c:strCache>
            </c:strRef>
          </c:cat>
          <c:val>
            <c:numRef>
              <c:f>'sheet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CCE-4ECE-BA17-E4BD5DF8DCD5}"/>
            </c:ext>
          </c:extLst>
        </c:ser>
        <c:ser>
          <c:idx val="1"/>
          <c:order val="1"/>
          <c:tx>
            <c:strRef>
              <c:f>'sheet Design'!$C$24:$C$25</c:f>
              <c:strCache>
                <c:ptCount val="1"/>
                <c:pt idx="0">
                  <c:v>Low Fat</c:v>
                </c:pt>
              </c:strCache>
            </c:strRef>
          </c:tx>
          <c:spPr>
            <a:solidFill>
              <a:schemeClr val="accent2"/>
            </a:solidFill>
            <a:ln>
              <a:noFill/>
            </a:ln>
            <a:effectLst/>
          </c:spPr>
          <c:invertIfNegative val="0"/>
          <c:cat>
            <c:strRef>
              <c:f>'sheet Design'!$A$26:$A$28</c:f>
              <c:strCache>
                <c:ptCount val="3"/>
                <c:pt idx="0">
                  <c:v>Tier 1</c:v>
                </c:pt>
                <c:pt idx="1">
                  <c:v>Tier 2</c:v>
                </c:pt>
                <c:pt idx="2">
                  <c:v>Tier 3</c:v>
                </c:pt>
              </c:strCache>
            </c:strRef>
          </c:cat>
          <c:val>
            <c:numRef>
              <c:f>'sheet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4A3-44D5-BBAF-80ACFA80E338}"/>
            </c:ext>
          </c:extLst>
        </c:ser>
        <c:dLbls>
          <c:showLegendKey val="0"/>
          <c:showVal val="0"/>
          <c:showCatName val="0"/>
          <c:showSerName val="0"/>
          <c:showPercent val="0"/>
          <c:showBubbleSize val="0"/>
        </c:dLbls>
        <c:gapWidth val="182"/>
        <c:axId val="1640012719"/>
        <c:axId val="1640011759"/>
      </c:barChart>
      <c:catAx>
        <c:axId val="164001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011759"/>
        <c:crosses val="autoZero"/>
        <c:auto val="1"/>
        <c:lblAlgn val="ctr"/>
        <c:lblOffset val="100"/>
        <c:noMultiLvlLbl val="0"/>
      </c:catAx>
      <c:valAx>
        <c:axId val="1640011759"/>
        <c:scaling>
          <c:orientation val="minMax"/>
        </c:scaling>
        <c:delete val="1"/>
        <c:axPos val="b"/>
        <c:numFmt formatCode="&quot;₹&quot;0.0,&quot;K&quot;" sourceLinked="1"/>
        <c:majorTickMark val="none"/>
        <c:minorTickMark val="none"/>
        <c:tickLblPos val="nextTo"/>
        <c:crossAx val="1640012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Design'!$B$35</c:f>
              <c:strCache>
                <c:ptCount val="1"/>
                <c:pt idx="0">
                  <c:v>Total</c:v>
                </c:pt>
              </c:strCache>
            </c:strRef>
          </c:tx>
          <c:spPr>
            <a:solidFill>
              <a:schemeClr val="accent1"/>
            </a:solidFill>
            <a:ln>
              <a:noFill/>
            </a:ln>
            <a:effectLst/>
          </c:spPr>
          <c:invertIfNegative val="0"/>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871-4BE5-A248-7B4D9D08424C}"/>
            </c:ext>
          </c:extLst>
        </c:ser>
        <c:dLbls>
          <c:showLegendKey val="0"/>
          <c:showVal val="0"/>
          <c:showCatName val="0"/>
          <c:showSerName val="0"/>
          <c:showPercent val="0"/>
          <c:showBubbleSize val="0"/>
        </c:dLbls>
        <c:gapWidth val="182"/>
        <c:axId val="1002213103"/>
        <c:axId val="1002212143"/>
      </c:barChart>
      <c:catAx>
        <c:axId val="1002213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12143"/>
        <c:crosses val="autoZero"/>
        <c:auto val="1"/>
        <c:lblAlgn val="ctr"/>
        <c:lblOffset val="100"/>
        <c:noMultiLvlLbl val="0"/>
      </c:catAx>
      <c:valAx>
        <c:axId val="1002212143"/>
        <c:scaling>
          <c:orientation val="minMax"/>
        </c:scaling>
        <c:delete val="1"/>
        <c:axPos val="b"/>
        <c:numFmt formatCode="&quot;₹&quot;0.0,&quot;K&quot;" sourceLinked="1"/>
        <c:majorTickMark val="none"/>
        <c:minorTickMark val="none"/>
        <c:tickLblPos val="nextTo"/>
        <c:crossAx val="100221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Design!PivotTable13</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Design'!$B$55</c:f>
              <c:strCache>
                <c:ptCount val="1"/>
                <c:pt idx="0">
                  <c:v>Total</c:v>
                </c:pt>
              </c:strCache>
            </c:strRef>
          </c:tx>
          <c:spPr>
            <a:solidFill>
              <a:schemeClr val="accent1"/>
            </a:solidFill>
            <a:ln>
              <a:noFill/>
            </a:ln>
            <a:effectLst/>
          </c:spPr>
          <c:cat>
            <c:strRef>
              <c:f>'sheet Design'!$A$56:$A$64</c:f>
              <c:strCache>
                <c:ptCount val="9"/>
                <c:pt idx="0">
                  <c:v>2011</c:v>
                </c:pt>
                <c:pt idx="1">
                  <c:v>2012</c:v>
                </c:pt>
                <c:pt idx="2">
                  <c:v>2014</c:v>
                </c:pt>
                <c:pt idx="3">
                  <c:v>2015</c:v>
                </c:pt>
                <c:pt idx="4">
                  <c:v>2016</c:v>
                </c:pt>
                <c:pt idx="5">
                  <c:v>2017</c:v>
                </c:pt>
                <c:pt idx="6">
                  <c:v>2018</c:v>
                </c:pt>
                <c:pt idx="7">
                  <c:v>2020</c:v>
                </c:pt>
                <c:pt idx="8">
                  <c:v>2022</c:v>
                </c:pt>
              </c:strCache>
            </c:strRef>
          </c:cat>
          <c:val>
            <c:numRef>
              <c:f>'sheet Design'!$B$56:$B$64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716-4DCD-A8C5-D467A7344D84}"/>
            </c:ext>
          </c:extLst>
        </c:ser>
        <c:dLbls>
          <c:showLegendKey val="0"/>
          <c:showVal val="0"/>
          <c:showCatName val="0"/>
          <c:showSerName val="0"/>
          <c:showPercent val="0"/>
          <c:showBubbleSize val="0"/>
        </c:dLbls>
        <c:axId val="1640010319"/>
        <c:axId val="1427203119"/>
      </c:areaChart>
      <c:catAx>
        <c:axId val="1640010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203119"/>
        <c:crosses val="autoZero"/>
        <c:auto val="1"/>
        <c:lblAlgn val="ctr"/>
        <c:lblOffset val="100"/>
        <c:noMultiLvlLbl val="0"/>
      </c:catAx>
      <c:valAx>
        <c:axId val="1427203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010319"/>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Design!PivotTable14</c:name>
    <c:fmtId val="5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FC-4C14-AE92-C82E1F5DAD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FC-4C14-AE92-C82E1F5DAD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FC-4C14-AE92-C82E1F5DADD5}"/>
              </c:ext>
            </c:extLst>
          </c:dPt>
          <c:cat>
            <c:strRef>
              <c:f>'sheet Design'!$A$69:$A$71</c:f>
              <c:strCache>
                <c:ptCount val="3"/>
                <c:pt idx="0">
                  <c:v>High</c:v>
                </c:pt>
                <c:pt idx="1">
                  <c:v>Medium</c:v>
                </c:pt>
                <c:pt idx="2">
                  <c:v>Small</c:v>
                </c:pt>
              </c:strCache>
            </c:strRef>
          </c:cat>
          <c:val>
            <c:numRef>
              <c:f>'sheet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4911-4D17-AA85-419A9C0D6B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Design!PivotTable16</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Design'!$B$89</c:f>
              <c:strCache>
                <c:ptCount val="1"/>
                <c:pt idx="0">
                  <c:v>Total</c:v>
                </c:pt>
              </c:strCache>
            </c:strRef>
          </c:tx>
          <c:spPr>
            <a:solidFill>
              <a:schemeClr val="accent1"/>
            </a:solidFill>
            <a:ln>
              <a:noFill/>
            </a:ln>
            <a:effectLst/>
          </c:spPr>
          <c:invertIfNegative val="0"/>
          <c:cat>
            <c:strRef>
              <c:f>'sheet Design'!$A$90:$A$93</c:f>
              <c:strCache>
                <c:ptCount val="4"/>
                <c:pt idx="0">
                  <c:v>Grocery Store</c:v>
                </c:pt>
                <c:pt idx="1">
                  <c:v>Supermarket Type3</c:v>
                </c:pt>
                <c:pt idx="2">
                  <c:v>Supermarket Type2</c:v>
                </c:pt>
                <c:pt idx="3">
                  <c:v>Supermarket Type1</c:v>
                </c:pt>
              </c:strCache>
            </c:strRef>
          </c:cat>
          <c:val>
            <c:numRef>
              <c:f>'sheet Design'!$B$90:$B$93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F66-4E49-831E-C990822871E1}"/>
            </c:ext>
          </c:extLst>
        </c:ser>
        <c:dLbls>
          <c:showLegendKey val="0"/>
          <c:showVal val="0"/>
          <c:showCatName val="0"/>
          <c:showSerName val="0"/>
          <c:showPercent val="0"/>
          <c:showBubbleSize val="0"/>
        </c:dLbls>
        <c:gapWidth val="182"/>
        <c:axId val="1424985439"/>
        <c:axId val="1424981599"/>
      </c:barChart>
      <c:catAx>
        <c:axId val="142498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81599"/>
        <c:crosses val="autoZero"/>
        <c:auto val="1"/>
        <c:lblAlgn val="ctr"/>
        <c:lblOffset val="100"/>
        <c:noMultiLvlLbl val="0"/>
      </c:catAx>
      <c:valAx>
        <c:axId val="1424981599"/>
        <c:scaling>
          <c:orientation val="minMax"/>
        </c:scaling>
        <c:delete val="1"/>
        <c:axPos val="b"/>
        <c:numFmt formatCode="&quot;₹&quot;0.0,&quot;K&quot;" sourceLinked="1"/>
        <c:majorTickMark val="none"/>
        <c:minorTickMark val="none"/>
        <c:tickLblPos val="nextTo"/>
        <c:crossAx val="142498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Design!PivotTable8</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5.2020776493608763E-4"/>
              <c:y val="0.26108696015649818"/>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9387363882945298"/>
                  <c:h val="0.17374475413399321"/>
                </c:manualLayout>
              </c15:layout>
            </c:ext>
          </c:extLst>
        </c:dLbl>
      </c:pivotFmt>
      <c:pivotFmt>
        <c:idx val="6"/>
        <c:spPr>
          <a:solidFill>
            <a:srgbClr val="964B00"/>
          </a:solidFill>
          <a:ln w="19050">
            <a:solidFill>
              <a:schemeClr val="lt1"/>
            </a:solidFill>
          </a:ln>
          <a:effectLst/>
        </c:spPr>
        <c:dLbl>
          <c:idx val="0"/>
          <c:layout>
            <c:manualLayout>
              <c:x val="-0.12544627303748837"/>
              <c:y val="-0.1290572907087562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9588765421296696"/>
                  <c:h val="0.1956231503619856"/>
                </c:manualLayout>
              </c15:layout>
            </c:ext>
          </c:extLst>
        </c:dLbl>
      </c:pivotFmt>
    </c:pivotFmts>
    <c:plotArea>
      <c:layout>
        <c:manualLayout>
          <c:layoutTarget val="inner"/>
          <c:xMode val="edge"/>
          <c:yMode val="edge"/>
          <c:x val="0.2771553770013383"/>
          <c:y val="0.12509041965965981"/>
          <c:w val="0.60996180555555557"/>
          <c:h val="0.71366646353849283"/>
        </c:manualLayout>
      </c:layout>
      <c:doughnutChart>
        <c:varyColors val="1"/>
        <c:ser>
          <c:idx val="0"/>
          <c:order val="0"/>
          <c:tx>
            <c:strRef>
              <c:f>'sheet Design'!$B$12</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DA1C-405E-B50E-F999D3D5708E}"/>
              </c:ext>
            </c:extLst>
          </c:dPt>
          <c:dPt>
            <c:idx val="1"/>
            <c:bubble3D val="0"/>
            <c:spPr>
              <a:solidFill>
                <a:srgbClr val="964B00"/>
              </a:solidFill>
              <a:ln w="19050">
                <a:solidFill>
                  <a:schemeClr val="lt1"/>
                </a:solidFill>
              </a:ln>
              <a:effectLst/>
            </c:spPr>
            <c:extLst>
              <c:ext xmlns:c16="http://schemas.microsoft.com/office/drawing/2014/chart" uri="{C3380CC4-5D6E-409C-BE32-E72D297353CC}">
                <c16:uniqueId val="{00000003-DA1C-405E-B50E-F999D3D5708E}"/>
              </c:ext>
            </c:extLst>
          </c:dPt>
          <c:dLbls>
            <c:dLbl>
              <c:idx val="0"/>
              <c:layout>
                <c:manualLayout>
                  <c:x val="-5.2020776493608763E-4"/>
                  <c:y val="0.26108696015649818"/>
                </c:manualLayout>
              </c:layout>
              <c:showLegendKey val="0"/>
              <c:showVal val="1"/>
              <c:showCatName val="0"/>
              <c:showSerName val="0"/>
              <c:showPercent val="1"/>
              <c:showBubbleSize val="0"/>
              <c:extLst>
                <c:ext xmlns:c15="http://schemas.microsoft.com/office/drawing/2012/chart" uri="{CE6537A1-D6FC-4f65-9D91-7224C49458BB}">
                  <c15:layout>
                    <c:manualLayout>
                      <c:w val="0.39387363882945298"/>
                      <c:h val="0.17374475413399321"/>
                    </c:manualLayout>
                  </c15:layout>
                </c:ext>
                <c:ext xmlns:c16="http://schemas.microsoft.com/office/drawing/2014/chart" uri="{C3380CC4-5D6E-409C-BE32-E72D297353CC}">
                  <c16:uniqueId val="{00000001-DA1C-405E-B50E-F999D3D5708E}"/>
                </c:ext>
              </c:extLst>
            </c:dLbl>
            <c:dLbl>
              <c:idx val="1"/>
              <c:layout>
                <c:manualLayout>
                  <c:x val="-0.12544627303748837"/>
                  <c:y val="-0.1290572907087562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9588765421296696"/>
                      <c:h val="0.1956231503619856"/>
                    </c:manualLayout>
                  </c15:layout>
                </c:ext>
                <c:ext xmlns:c16="http://schemas.microsoft.com/office/drawing/2014/chart" uri="{C3380CC4-5D6E-409C-BE32-E72D297353CC}">
                  <c16:uniqueId val="{00000003-DA1C-405E-B50E-F999D3D5708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DA1C-405E-B50E-F999D3D5708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Design!PivotTable10</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64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39039728470318"/>
                  <c:h val="0.2246036074719612"/>
                </c:manualLayout>
              </c15:layout>
            </c:ext>
          </c:extLst>
        </c:dLbl>
      </c:pivotFmt>
      <c:pivotFmt>
        <c:idx val="8"/>
        <c:spPr>
          <a:solidFill>
            <a:srgbClr val="964B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44674279044233"/>
                  <c:h val="0.2246036074719612"/>
                </c:manualLayout>
              </c15:layout>
            </c:ext>
          </c:extLst>
        </c:dLbl>
      </c:pivotFmt>
      <c:pivotFmt>
        <c:idx val="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796200472138972"/>
                  <c:h val="0.2246036074719612"/>
                </c:manualLayout>
              </c15:layout>
            </c:ext>
          </c:extLst>
        </c:dLbl>
      </c:pivotFmt>
      <c:pivotFmt>
        <c:idx val="10"/>
        <c:spPr>
          <a:solidFill>
            <a:srgbClr val="964B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23276864194973"/>
                  <c:h val="0.2246036074719612"/>
                </c:manualLayout>
              </c15:layout>
            </c:ext>
          </c:extLst>
        </c:dLbl>
      </c:pivotFmt>
      <c:pivotFmt>
        <c:idx val="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521304321697491"/>
                  <c:h val="0.2246036074719612"/>
                </c:manualLayout>
              </c15:layout>
            </c:ext>
          </c:extLst>
        </c:dLbl>
      </c:pivotFmt>
      <c:pivotFmt>
        <c:idx val="12"/>
        <c:spPr>
          <a:solidFill>
            <a:srgbClr val="964B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89843813655893"/>
                  <c:h val="0.2246036074719612"/>
                </c:manualLayout>
              </c15:layout>
            </c:ext>
          </c:extLst>
        </c:dLbl>
      </c:pivotFmt>
    </c:pivotFmts>
    <c:plotArea>
      <c:layout/>
      <c:barChart>
        <c:barDir val="bar"/>
        <c:grouping val="clustered"/>
        <c:varyColors val="0"/>
        <c:ser>
          <c:idx val="0"/>
          <c:order val="0"/>
          <c:tx>
            <c:strRef>
              <c:f>'sheet Design'!$B$24:$B$25</c:f>
              <c:strCache>
                <c:ptCount val="1"/>
                <c:pt idx="0">
                  <c:v>Regular</c:v>
                </c:pt>
              </c:strCache>
            </c:strRef>
          </c:tx>
          <c:spPr>
            <a:solidFill>
              <a:srgbClr val="964B00"/>
            </a:solidFill>
            <a:ln>
              <a:noFill/>
            </a:ln>
            <a:effectLst/>
          </c:spPr>
          <c:invertIfNegative val="0"/>
          <c:dPt>
            <c:idx val="0"/>
            <c:invertIfNegative val="0"/>
            <c:bubble3D val="0"/>
            <c:spPr>
              <a:solidFill>
                <a:srgbClr val="964B00"/>
              </a:solidFill>
              <a:ln>
                <a:noFill/>
              </a:ln>
              <a:effectLst/>
            </c:spPr>
            <c:extLst>
              <c:ext xmlns:c16="http://schemas.microsoft.com/office/drawing/2014/chart" uri="{C3380CC4-5D6E-409C-BE32-E72D297353CC}">
                <c16:uniqueId val="{00000003-AE75-498C-BB31-198399871B22}"/>
              </c:ext>
            </c:extLst>
          </c:dPt>
          <c:dPt>
            <c:idx val="1"/>
            <c:invertIfNegative val="0"/>
            <c:bubble3D val="0"/>
            <c:spPr>
              <a:solidFill>
                <a:srgbClr val="964B00"/>
              </a:solidFill>
              <a:ln>
                <a:noFill/>
              </a:ln>
              <a:effectLst/>
            </c:spPr>
            <c:extLst>
              <c:ext xmlns:c16="http://schemas.microsoft.com/office/drawing/2014/chart" uri="{C3380CC4-5D6E-409C-BE32-E72D297353CC}">
                <c16:uniqueId val="{00000001-AE75-498C-BB31-198399871B22}"/>
              </c:ext>
            </c:extLst>
          </c:dPt>
          <c:dPt>
            <c:idx val="2"/>
            <c:invertIfNegative val="0"/>
            <c:bubble3D val="0"/>
            <c:spPr>
              <a:solidFill>
                <a:srgbClr val="964B00"/>
              </a:solidFill>
              <a:ln>
                <a:noFill/>
              </a:ln>
              <a:effectLst/>
            </c:spPr>
            <c:extLst>
              <c:ext xmlns:c16="http://schemas.microsoft.com/office/drawing/2014/chart" uri="{C3380CC4-5D6E-409C-BE32-E72D297353CC}">
                <c16:uniqueId val="{00000000-6D0E-47D8-8B83-4792E8D51636}"/>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0989843813655893"/>
                      <c:h val="0.2246036074719612"/>
                    </c:manualLayout>
                  </c15:layout>
                </c:ext>
                <c:ext xmlns:c16="http://schemas.microsoft.com/office/drawing/2014/chart" uri="{C3380CC4-5D6E-409C-BE32-E72D297353CC}">
                  <c16:uniqueId val="{00000003-AE75-498C-BB31-198399871B22}"/>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923276864194973"/>
                      <c:h val="0.2246036074719612"/>
                    </c:manualLayout>
                  </c15:layout>
                </c:ext>
                <c:ext xmlns:c16="http://schemas.microsoft.com/office/drawing/2014/chart" uri="{C3380CC4-5D6E-409C-BE32-E72D297353CC}">
                  <c16:uniqueId val="{00000001-AE75-498C-BB31-198399871B22}"/>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944674279044233"/>
                      <c:h val="0.2246036074719612"/>
                    </c:manualLayout>
                  </c15:layout>
                </c:ext>
                <c:ext xmlns:c16="http://schemas.microsoft.com/office/drawing/2014/chart" uri="{C3380CC4-5D6E-409C-BE32-E72D297353CC}">
                  <c16:uniqueId val="{00000000-6D0E-47D8-8B83-4792E8D5163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Design'!$A$26:$A$28</c:f>
              <c:strCache>
                <c:ptCount val="3"/>
                <c:pt idx="0">
                  <c:v>Tier 1</c:v>
                </c:pt>
                <c:pt idx="1">
                  <c:v>Tier 2</c:v>
                </c:pt>
                <c:pt idx="2">
                  <c:v>Tier 3</c:v>
                </c:pt>
              </c:strCache>
            </c:strRef>
          </c:cat>
          <c:val>
            <c:numRef>
              <c:f>'sheet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EA2-4388-9136-8A022EC62B05}"/>
            </c:ext>
          </c:extLst>
        </c:ser>
        <c:ser>
          <c:idx val="1"/>
          <c:order val="1"/>
          <c:tx>
            <c:strRef>
              <c:f>'sheet Design'!$C$24:$C$25</c:f>
              <c:strCache>
                <c:ptCount val="1"/>
                <c:pt idx="0">
                  <c:v>Low Fat</c:v>
                </c:pt>
              </c:strCache>
            </c:strRef>
          </c:tx>
          <c:spPr>
            <a:solidFill>
              <a:srgbClr val="FF0000"/>
            </a:solidFill>
            <a:ln>
              <a:noFill/>
            </a:ln>
            <a:effectLst/>
          </c:spPr>
          <c:invertIfNegative val="0"/>
          <c:dPt>
            <c:idx val="0"/>
            <c:invertIfNegative val="0"/>
            <c:bubble3D val="0"/>
            <c:spPr>
              <a:solidFill>
                <a:srgbClr val="FF0000"/>
              </a:solidFill>
              <a:ln>
                <a:noFill/>
              </a:ln>
              <a:effectLst/>
            </c:spPr>
          </c:dPt>
          <c:dPt>
            <c:idx val="1"/>
            <c:invertIfNegative val="0"/>
            <c:bubble3D val="0"/>
            <c:spPr>
              <a:solidFill>
                <a:srgbClr val="FF0000"/>
              </a:solidFill>
              <a:ln>
                <a:noFill/>
              </a:ln>
              <a:effectLst/>
            </c:spPr>
          </c:dPt>
          <c:dPt>
            <c:idx val="2"/>
            <c:invertIfNegative val="0"/>
            <c:bubble3D val="0"/>
            <c:spPr>
              <a:solidFill>
                <a:srgbClr val="FF0000"/>
              </a:solidFill>
              <a:ln>
                <a:noFill/>
              </a:ln>
              <a:effectLst/>
            </c:spPr>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1521304321697491"/>
                      <c:h val="0.2246036074719612"/>
                    </c:manualLayout>
                  </c15:layout>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0339039728470318"/>
                      <c:h val="0.2246036074719612"/>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8796200472138972"/>
                      <c:h val="0.2246036074719612"/>
                    </c:manualLayout>
                  </c15:layout>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Design'!$A$26:$A$28</c:f>
              <c:strCache>
                <c:ptCount val="3"/>
                <c:pt idx="0">
                  <c:v>Tier 1</c:v>
                </c:pt>
                <c:pt idx="1">
                  <c:v>Tier 2</c:v>
                </c:pt>
                <c:pt idx="2">
                  <c:v>Tier 3</c:v>
                </c:pt>
              </c:strCache>
            </c:strRef>
          </c:cat>
          <c:val>
            <c:numRef>
              <c:f>'sheet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D-AE22-4789-A570-43D79D62B3A9}"/>
            </c:ext>
          </c:extLst>
        </c:ser>
        <c:dLbls>
          <c:showLegendKey val="0"/>
          <c:showVal val="0"/>
          <c:showCatName val="0"/>
          <c:showSerName val="0"/>
          <c:showPercent val="0"/>
          <c:showBubbleSize val="0"/>
        </c:dLbls>
        <c:gapWidth val="60"/>
        <c:axId val="1640012719"/>
        <c:axId val="1640011759"/>
      </c:barChart>
      <c:catAx>
        <c:axId val="164001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40011759"/>
        <c:crosses val="autoZero"/>
        <c:auto val="1"/>
        <c:lblAlgn val="ctr"/>
        <c:lblOffset val="100"/>
        <c:noMultiLvlLbl val="0"/>
      </c:catAx>
      <c:valAx>
        <c:axId val="1640011759"/>
        <c:scaling>
          <c:orientation val="minMax"/>
        </c:scaling>
        <c:delete val="1"/>
        <c:axPos val="b"/>
        <c:numFmt formatCode="&quot;₹&quot;0.0,&quot;K&quot;" sourceLinked="1"/>
        <c:majorTickMark val="none"/>
        <c:minorTickMark val="none"/>
        <c:tickLblPos val="nextTo"/>
        <c:crossAx val="1640012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Design!PivotTable11</c:name>
    <c:fmtId val="2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C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Design'!$B$35</c:f>
              <c:strCache>
                <c:ptCount val="1"/>
                <c:pt idx="0">
                  <c:v>Total</c:v>
                </c:pt>
              </c:strCache>
            </c:strRef>
          </c:tx>
          <c:spPr>
            <a:solidFill>
              <a:srgbClr val="CC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746-4DD2-B1AD-A40F7193ECC9}"/>
            </c:ext>
          </c:extLst>
        </c:ser>
        <c:dLbls>
          <c:showLegendKey val="0"/>
          <c:showVal val="0"/>
          <c:showCatName val="0"/>
          <c:showSerName val="0"/>
          <c:showPercent val="0"/>
          <c:showBubbleSize val="0"/>
        </c:dLbls>
        <c:gapWidth val="52"/>
        <c:axId val="1002213103"/>
        <c:axId val="1002212143"/>
      </c:barChart>
      <c:catAx>
        <c:axId val="1002213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02212143"/>
        <c:crosses val="autoZero"/>
        <c:auto val="1"/>
        <c:lblAlgn val="ctr"/>
        <c:lblOffset val="100"/>
        <c:noMultiLvlLbl val="0"/>
      </c:catAx>
      <c:valAx>
        <c:axId val="1002212143"/>
        <c:scaling>
          <c:orientation val="minMax"/>
        </c:scaling>
        <c:delete val="1"/>
        <c:axPos val="b"/>
        <c:numFmt formatCode="&quot;₹&quot;0.0,&quot;K&quot;" sourceLinked="1"/>
        <c:majorTickMark val="none"/>
        <c:minorTickMark val="none"/>
        <c:tickLblPos val="nextTo"/>
        <c:crossAx val="100221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Design!PivotTable13</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C6600">
              <a:alpha val="85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6600">
              <a:alpha val="85000"/>
            </a:srgbClr>
          </a:solidFill>
          <a:ln w="25400">
            <a:solidFill>
              <a:schemeClr val="tx1"/>
            </a:solidFill>
          </a:ln>
          <a:effectLst>
            <a:innerShdw dist="12700" dir="16200000">
              <a:schemeClr val="lt1">
                <a:alpha val="75000"/>
              </a:schemeClr>
            </a:innerShdw>
          </a:effectLst>
        </c:spPr>
        <c:dLbl>
          <c:idx val="0"/>
          <c:layout>
            <c:manualLayout>
              <c:x val="0"/>
              <c:y val="-0.2076743012863542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6600">
              <a:alpha val="85000"/>
            </a:srgbClr>
          </a:solidFill>
          <a:ln w="25400">
            <a:solidFill>
              <a:schemeClr val="tx1"/>
            </a:solidFill>
          </a:ln>
          <a:effectLst>
            <a:innerShdw dist="12700" dir="16200000">
              <a:schemeClr val="lt1">
                <a:alpha val="75000"/>
              </a:schemeClr>
            </a:innerShdw>
          </a:effectLst>
        </c:spPr>
        <c:dLbl>
          <c:idx val="0"/>
          <c:layout>
            <c:manualLayout>
              <c:x val="0"/>
              <c:y val="-0.2699765916722605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C6600">
              <a:alpha val="85000"/>
            </a:srgbClr>
          </a:solidFill>
          <a:ln w="25400">
            <a:solidFill>
              <a:schemeClr val="tx1"/>
            </a:solidFill>
          </a:ln>
          <a:effectLst>
            <a:innerShdw dist="12700" dir="16200000">
              <a:schemeClr val="lt1">
                <a:alpha val="75000"/>
              </a:schemeClr>
            </a:innerShdw>
          </a:effectLst>
        </c:spPr>
        <c:dLbl>
          <c:idx val="0"/>
          <c:layout>
            <c:manualLayout>
              <c:x val="-2.3363729484069985E-3"/>
              <c:y val="-0.2751684492044194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6600">
              <a:alpha val="85000"/>
            </a:srgbClr>
          </a:solidFill>
          <a:ln w="25400">
            <a:solidFill>
              <a:schemeClr val="tx1"/>
            </a:solidFill>
          </a:ln>
          <a:effectLst>
            <a:innerShdw dist="12700" dir="16200000">
              <a:schemeClr val="lt1">
                <a:alpha val="75000"/>
              </a:schemeClr>
            </a:innerShdw>
          </a:effectLst>
        </c:spPr>
        <c:dLbl>
          <c:idx val="0"/>
          <c:layout>
            <c:manualLayout>
              <c:x val="-7.0091188452210381E-3"/>
              <c:y val="-0.2803603067365782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C6600">
              <a:alpha val="85000"/>
            </a:srgbClr>
          </a:solidFill>
          <a:ln w="25400">
            <a:solidFill>
              <a:schemeClr val="tx1"/>
            </a:solidFill>
          </a:ln>
          <a:effectLst>
            <a:innerShdw dist="12700" dir="16200000">
              <a:schemeClr val="lt1">
                <a:alpha val="75000"/>
              </a:schemeClr>
            </a:innerShdw>
          </a:effectLst>
        </c:spPr>
        <c:dLbl>
          <c:idx val="0"/>
          <c:layout>
            <c:manualLayout>
              <c:x val="-7.0091188452209947E-3"/>
              <c:y val="-0.2699765916722605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6600">
              <a:alpha val="85000"/>
            </a:srgbClr>
          </a:solidFill>
          <a:ln w="25400">
            <a:solidFill>
              <a:schemeClr val="tx1"/>
            </a:solidFill>
          </a:ln>
          <a:effectLst>
            <a:innerShdw dist="12700" dir="16200000">
              <a:schemeClr val="lt1">
                <a:alpha val="75000"/>
              </a:schemeClr>
            </a:innerShdw>
          </a:effectLst>
        </c:spPr>
        <c:dLbl>
          <c:idx val="0"/>
          <c:layout>
            <c:manualLayout>
              <c:x val="-7.0091188452209947E-3"/>
              <c:y val="-0.2751684492044194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C6600">
              <a:alpha val="85000"/>
            </a:srgbClr>
          </a:solidFill>
          <a:ln w="25400">
            <a:solidFill>
              <a:schemeClr val="tx1"/>
            </a:solidFill>
          </a:ln>
          <a:effectLst>
            <a:innerShdw dist="12700" dir="16200000">
              <a:schemeClr val="lt1">
                <a:alpha val="75000"/>
              </a:schemeClr>
            </a:innerShdw>
          </a:effectLst>
        </c:spPr>
        <c:dLbl>
          <c:idx val="0"/>
          <c:layout>
            <c:manualLayout>
              <c:x val="2.3363729484069127E-3"/>
              <c:y val="-0.3790055998475965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C6600">
              <a:alpha val="85000"/>
            </a:srgbClr>
          </a:solidFill>
          <a:ln w="25400">
            <a:solidFill>
              <a:schemeClr val="tx1"/>
            </a:solidFill>
          </a:ln>
          <a:effectLst>
            <a:innerShdw dist="12700" dir="16200000">
              <a:schemeClr val="lt1">
                <a:alpha val="75000"/>
              </a:schemeClr>
            </a:innerShdw>
          </a:effectLst>
        </c:spPr>
        <c:dLbl>
          <c:idx val="0"/>
          <c:layout>
            <c:manualLayout>
              <c:x val="-2.3363729484069985E-3"/>
              <c:y val="-0.290744021800895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C6600">
              <a:alpha val="85000"/>
            </a:srgbClr>
          </a:solidFill>
          <a:ln w="25400">
            <a:solidFill>
              <a:schemeClr val="tx1"/>
            </a:solidFill>
          </a:ln>
          <a:effectLst>
            <a:innerShdw dist="12700" dir="16200000">
              <a:schemeClr val="lt1">
                <a:alpha val="75000"/>
              </a:schemeClr>
            </a:innerShdw>
          </a:effectLst>
        </c:spPr>
        <c:dLbl>
          <c:idx val="0"/>
          <c:layout>
            <c:manualLayout>
              <c:x val="-1.4018237690441989E-2"/>
              <c:y val="-0.2699765916722605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25958979913814E-2"/>
          <c:y val="5.7110432853747416E-2"/>
          <c:w val="0.92934808204017239"/>
          <c:h val="0.82244746616912046"/>
        </c:manualLayout>
      </c:layout>
      <c:areaChart>
        <c:grouping val="standard"/>
        <c:varyColors val="0"/>
        <c:ser>
          <c:idx val="0"/>
          <c:order val="0"/>
          <c:tx>
            <c:strRef>
              <c:f>'sheet Design'!$B$55</c:f>
              <c:strCache>
                <c:ptCount val="1"/>
                <c:pt idx="0">
                  <c:v>Total</c:v>
                </c:pt>
              </c:strCache>
            </c:strRef>
          </c:tx>
          <c:spPr>
            <a:solidFill>
              <a:srgbClr val="CC6600">
                <a:alpha val="85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B-A8B5-4DE5-97ED-91D527660EED}"/>
              </c:ext>
            </c:extLst>
          </c:dPt>
          <c:dPt>
            <c:idx val="1"/>
            <c:bubble3D val="0"/>
            <c:extLst>
              <c:ext xmlns:c16="http://schemas.microsoft.com/office/drawing/2014/chart" uri="{C3380CC4-5D6E-409C-BE32-E72D297353CC}">
                <c16:uniqueId val="{0000000C-A8B5-4DE5-97ED-91D527660EED}"/>
              </c:ext>
            </c:extLst>
          </c:dPt>
          <c:dPt>
            <c:idx val="2"/>
            <c:bubble3D val="0"/>
            <c:extLst>
              <c:ext xmlns:c16="http://schemas.microsoft.com/office/drawing/2014/chart" uri="{C3380CC4-5D6E-409C-BE32-E72D297353CC}">
                <c16:uniqueId val="{0000000D-A8B5-4DE5-97ED-91D527660EED}"/>
              </c:ext>
            </c:extLst>
          </c:dPt>
          <c:dPt>
            <c:idx val="3"/>
            <c:bubble3D val="0"/>
            <c:extLst>
              <c:ext xmlns:c16="http://schemas.microsoft.com/office/drawing/2014/chart" uri="{C3380CC4-5D6E-409C-BE32-E72D297353CC}">
                <c16:uniqueId val="{0000000E-A8B5-4DE5-97ED-91D527660EED}"/>
              </c:ext>
            </c:extLst>
          </c:dPt>
          <c:dPt>
            <c:idx val="4"/>
            <c:bubble3D val="0"/>
            <c:extLst>
              <c:ext xmlns:c16="http://schemas.microsoft.com/office/drawing/2014/chart" uri="{C3380CC4-5D6E-409C-BE32-E72D297353CC}">
                <c16:uniqueId val="{0000000F-A8B5-4DE5-97ED-91D527660EED}"/>
              </c:ext>
            </c:extLst>
          </c:dPt>
          <c:dPt>
            <c:idx val="5"/>
            <c:bubble3D val="0"/>
            <c:extLst>
              <c:ext xmlns:c16="http://schemas.microsoft.com/office/drawing/2014/chart" uri="{C3380CC4-5D6E-409C-BE32-E72D297353CC}">
                <c16:uniqueId val="{00000010-A8B5-4DE5-97ED-91D527660EED}"/>
              </c:ext>
            </c:extLst>
          </c:dPt>
          <c:dPt>
            <c:idx val="6"/>
            <c:bubble3D val="0"/>
            <c:extLst>
              <c:ext xmlns:c16="http://schemas.microsoft.com/office/drawing/2014/chart" uri="{C3380CC4-5D6E-409C-BE32-E72D297353CC}">
                <c16:uniqueId val="{00000011-A8B5-4DE5-97ED-91D527660EED}"/>
              </c:ext>
            </c:extLst>
          </c:dPt>
          <c:dPt>
            <c:idx val="7"/>
            <c:bubble3D val="0"/>
            <c:extLst>
              <c:ext xmlns:c16="http://schemas.microsoft.com/office/drawing/2014/chart" uri="{C3380CC4-5D6E-409C-BE32-E72D297353CC}">
                <c16:uniqueId val="{00000012-A8B5-4DE5-97ED-91D527660EED}"/>
              </c:ext>
            </c:extLst>
          </c:dPt>
          <c:dPt>
            <c:idx val="8"/>
            <c:bubble3D val="0"/>
            <c:extLst>
              <c:ext xmlns:c16="http://schemas.microsoft.com/office/drawing/2014/chart" uri="{C3380CC4-5D6E-409C-BE32-E72D297353CC}">
                <c16:uniqueId val="{00000013-A8B5-4DE5-97ED-91D527660EED}"/>
              </c:ext>
            </c:extLst>
          </c:dPt>
          <c:dLbls>
            <c:dLbl>
              <c:idx val="0"/>
              <c:layout>
                <c:manualLayout>
                  <c:x val="0"/>
                  <c:y val="-0.207674301286354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8B5-4DE5-97ED-91D527660EED}"/>
                </c:ext>
              </c:extLst>
            </c:dLbl>
            <c:dLbl>
              <c:idx val="1"/>
              <c:layout>
                <c:manualLayout>
                  <c:x val="0"/>
                  <c:y val="-0.269976591672260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8B5-4DE5-97ED-91D527660EED}"/>
                </c:ext>
              </c:extLst>
            </c:dLbl>
            <c:dLbl>
              <c:idx val="2"/>
              <c:layout>
                <c:manualLayout>
                  <c:x val="-2.3363729484069985E-3"/>
                  <c:y val="-0.27516844920441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8B5-4DE5-97ED-91D527660EED}"/>
                </c:ext>
              </c:extLst>
            </c:dLbl>
            <c:dLbl>
              <c:idx val="3"/>
              <c:layout>
                <c:manualLayout>
                  <c:x val="-7.0091188452210381E-3"/>
                  <c:y val="-0.280360306736578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8B5-4DE5-97ED-91D527660EED}"/>
                </c:ext>
              </c:extLst>
            </c:dLbl>
            <c:dLbl>
              <c:idx val="4"/>
              <c:layout>
                <c:manualLayout>
                  <c:x val="-7.0091188452209947E-3"/>
                  <c:y val="-0.269976591672260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8B5-4DE5-97ED-91D527660EED}"/>
                </c:ext>
              </c:extLst>
            </c:dLbl>
            <c:dLbl>
              <c:idx val="5"/>
              <c:layout>
                <c:manualLayout>
                  <c:x val="-7.0091188452209947E-3"/>
                  <c:y val="-0.27516844920441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8B5-4DE5-97ED-91D527660EED}"/>
                </c:ext>
              </c:extLst>
            </c:dLbl>
            <c:dLbl>
              <c:idx val="6"/>
              <c:layout>
                <c:manualLayout>
                  <c:x val="2.3363729484069127E-3"/>
                  <c:y val="-0.379005599847596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8B5-4DE5-97ED-91D527660EED}"/>
                </c:ext>
              </c:extLst>
            </c:dLbl>
            <c:dLbl>
              <c:idx val="7"/>
              <c:layout>
                <c:manualLayout>
                  <c:x val="-2.3363729484069985E-3"/>
                  <c:y val="-0.290744021800895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8B5-4DE5-97ED-91D527660EED}"/>
                </c:ext>
              </c:extLst>
            </c:dLbl>
            <c:dLbl>
              <c:idx val="8"/>
              <c:layout>
                <c:manualLayout>
                  <c:x val="-1.4018237690441989E-2"/>
                  <c:y val="-0.269976591672260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8B5-4DE5-97ED-91D527660EE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Design'!$A$56:$A$64</c:f>
              <c:strCache>
                <c:ptCount val="9"/>
                <c:pt idx="0">
                  <c:v>2011</c:v>
                </c:pt>
                <c:pt idx="1">
                  <c:v>2012</c:v>
                </c:pt>
                <c:pt idx="2">
                  <c:v>2014</c:v>
                </c:pt>
                <c:pt idx="3">
                  <c:v>2015</c:v>
                </c:pt>
                <c:pt idx="4">
                  <c:v>2016</c:v>
                </c:pt>
                <c:pt idx="5">
                  <c:v>2017</c:v>
                </c:pt>
                <c:pt idx="6">
                  <c:v>2018</c:v>
                </c:pt>
                <c:pt idx="7">
                  <c:v>2020</c:v>
                </c:pt>
                <c:pt idx="8">
                  <c:v>2022</c:v>
                </c:pt>
              </c:strCache>
            </c:strRef>
          </c:cat>
          <c:val>
            <c:numRef>
              <c:f>'sheet Design'!$B$56:$B$64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A-A8B5-4DE5-97ED-91D527660EED}"/>
            </c:ext>
          </c:extLst>
        </c:ser>
        <c:dLbls>
          <c:showLegendKey val="0"/>
          <c:showVal val="0"/>
          <c:showCatName val="0"/>
          <c:showSerName val="0"/>
          <c:showPercent val="0"/>
          <c:showBubbleSize val="0"/>
        </c:dLbls>
        <c:dropLines>
          <c:spPr>
            <a:ln w="9525" cap="flat" cmpd="sng" algn="ctr">
              <a:solidFill>
                <a:schemeClr val="tx1">
                  <a:alpha val="43000"/>
                </a:schemeClr>
              </a:solidFill>
              <a:round/>
            </a:ln>
            <a:effectLst/>
          </c:spPr>
        </c:dropLines>
        <c:axId val="1640010319"/>
        <c:axId val="1427203119"/>
      </c:areaChart>
      <c:catAx>
        <c:axId val="164001031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427203119"/>
        <c:crosses val="autoZero"/>
        <c:auto val="1"/>
        <c:lblAlgn val="ctr"/>
        <c:lblOffset val="100"/>
        <c:noMultiLvlLbl val="0"/>
      </c:catAx>
      <c:valAx>
        <c:axId val="1427203119"/>
        <c:scaling>
          <c:orientation val="minMax"/>
        </c:scaling>
        <c:delete val="1"/>
        <c:axPos val="l"/>
        <c:numFmt formatCode="&quot;₹&quot;0.0,&quot;K&quot;" sourceLinked="1"/>
        <c:majorTickMark val="out"/>
        <c:minorTickMark val="none"/>
        <c:tickLblPos val="nextTo"/>
        <c:crossAx val="1640010319"/>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Design!PivotTable14</c:name>
    <c:fmtId val="6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81C89"/>
          </a:solidFill>
          <a:ln w="19050">
            <a:solidFill>
              <a:schemeClr val="lt1"/>
            </a:solidFill>
          </a:ln>
          <a:effectLst/>
        </c:spPr>
        <c:dLbl>
          <c:idx val="0"/>
          <c:layout>
            <c:manualLayout>
              <c:x val="0.163962240536112"/>
              <c:y val="-6.208888888888888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125200753906792"/>
                  <c:h val="0.3419000208564309"/>
                </c:manualLayout>
              </c15:layout>
            </c:ext>
          </c:extLst>
        </c:dLbl>
      </c:pivotFmt>
      <c:pivotFmt>
        <c:idx val="7"/>
        <c:spPr>
          <a:solidFill>
            <a:srgbClr val="FF0000"/>
          </a:solidFill>
          <a:ln w="19050">
            <a:solidFill>
              <a:schemeClr val="lt1"/>
            </a:solidFill>
          </a:ln>
          <a:effectLst/>
        </c:spPr>
        <c:dLbl>
          <c:idx val="0"/>
          <c:layout>
            <c:manualLayout>
              <c:x val="0.21016967572941131"/>
              <c:y val="5.079999999999999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0651255025953"/>
                  <c:h val="0.3419000208564309"/>
                </c:manualLayout>
              </c15:layout>
            </c:ext>
          </c:extLst>
        </c:dLbl>
      </c:pivotFmt>
      <c:pivotFmt>
        <c:idx val="8"/>
        <c:spPr>
          <a:solidFill>
            <a:srgbClr val="964B00"/>
          </a:solidFill>
          <a:ln w="19050">
            <a:solidFill>
              <a:schemeClr val="lt1"/>
            </a:solidFill>
          </a:ln>
          <a:effectLst/>
        </c:spPr>
        <c:dLbl>
          <c:idx val="0"/>
          <c:layout>
            <c:manualLayout>
              <c:x val="-7.1043606299883419E-2"/>
              <c:y val="-0.141111111111111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07249919205133"/>
                  <c:h val="0.33367912930835153"/>
                </c:manualLayout>
              </c15:layout>
            </c:ext>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15039442939312261"/>
          <c:y val="8.2111219662125826E-2"/>
          <c:w val="0.7101859114015977"/>
          <c:h val="0.86926755555555557"/>
        </c:manualLayout>
      </c:layout>
      <c:doughnutChart>
        <c:varyColors val="1"/>
        <c:ser>
          <c:idx val="0"/>
          <c:order val="0"/>
          <c:tx>
            <c:strRef>
              <c:f>'sheet Design'!$B$68</c:f>
              <c:strCache>
                <c:ptCount val="1"/>
                <c:pt idx="0">
                  <c:v>Total</c:v>
                </c:pt>
              </c:strCache>
            </c:strRef>
          </c:tx>
          <c:dPt>
            <c:idx val="0"/>
            <c:bubble3D val="0"/>
            <c:spPr>
              <a:solidFill>
                <a:srgbClr val="981C89"/>
              </a:solidFill>
              <a:ln w="19050">
                <a:solidFill>
                  <a:schemeClr val="lt1"/>
                </a:solidFill>
              </a:ln>
              <a:effectLst/>
            </c:spPr>
            <c:extLst>
              <c:ext xmlns:c16="http://schemas.microsoft.com/office/drawing/2014/chart" uri="{C3380CC4-5D6E-409C-BE32-E72D297353CC}">
                <c16:uniqueId val="{00000001-5F80-4311-87CD-0CC93794A73E}"/>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5F80-4311-87CD-0CC93794A73E}"/>
              </c:ext>
            </c:extLst>
          </c:dPt>
          <c:dPt>
            <c:idx val="2"/>
            <c:bubble3D val="0"/>
            <c:spPr>
              <a:solidFill>
                <a:srgbClr val="964B00"/>
              </a:solidFill>
              <a:ln w="19050">
                <a:solidFill>
                  <a:schemeClr val="lt1"/>
                </a:solidFill>
              </a:ln>
              <a:effectLst/>
            </c:spPr>
            <c:extLst>
              <c:ext xmlns:c16="http://schemas.microsoft.com/office/drawing/2014/chart" uri="{C3380CC4-5D6E-409C-BE32-E72D297353CC}">
                <c16:uniqueId val="{00000005-5F80-4311-87CD-0CC93794A73E}"/>
              </c:ext>
            </c:extLst>
          </c:dPt>
          <c:dLbls>
            <c:dLbl>
              <c:idx val="0"/>
              <c:layout>
                <c:manualLayout>
                  <c:x val="0.163962240536112"/>
                  <c:y val="-6.2088888888888888E-2"/>
                </c:manualLayout>
              </c:layout>
              <c:showLegendKey val="0"/>
              <c:showVal val="1"/>
              <c:showCatName val="0"/>
              <c:showSerName val="0"/>
              <c:showPercent val="1"/>
              <c:showBubbleSize val="0"/>
              <c:extLst>
                <c:ext xmlns:c15="http://schemas.microsoft.com/office/drawing/2012/chart" uri="{CE6537A1-D6FC-4f65-9D91-7224C49458BB}">
                  <c15:layout>
                    <c:manualLayout>
                      <c:w val="0.24125200753906792"/>
                      <c:h val="0.3419000208564309"/>
                    </c:manualLayout>
                  </c15:layout>
                </c:ext>
                <c:ext xmlns:c16="http://schemas.microsoft.com/office/drawing/2014/chart" uri="{C3380CC4-5D6E-409C-BE32-E72D297353CC}">
                  <c16:uniqueId val="{00000001-5F80-4311-87CD-0CC93794A73E}"/>
                </c:ext>
              </c:extLst>
            </c:dLbl>
            <c:dLbl>
              <c:idx val="1"/>
              <c:layout>
                <c:manualLayout>
                  <c:x val="0.21016967572941131"/>
                  <c:y val="5.0799999999999998E-2"/>
                </c:manualLayout>
              </c:layout>
              <c:showLegendKey val="0"/>
              <c:showVal val="1"/>
              <c:showCatName val="0"/>
              <c:showSerName val="0"/>
              <c:showPercent val="1"/>
              <c:showBubbleSize val="0"/>
              <c:extLst>
                <c:ext xmlns:c15="http://schemas.microsoft.com/office/drawing/2012/chart" uri="{CE6537A1-D6FC-4f65-9D91-7224C49458BB}">
                  <c15:layout>
                    <c:manualLayout>
                      <c:w val="0.2570651255025953"/>
                      <c:h val="0.3419000208564309"/>
                    </c:manualLayout>
                  </c15:layout>
                </c:ext>
                <c:ext xmlns:c16="http://schemas.microsoft.com/office/drawing/2014/chart" uri="{C3380CC4-5D6E-409C-BE32-E72D297353CC}">
                  <c16:uniqueId val="{00000003-5F80-4311-87CD-0CC93794A73E}"/>
                </c:ext>
              </c:extLst>
            </c:dLbl>
            <c:dLbl>
              <c:idx val="2"/>
              <c:layout>
                <c:manualLayout>
                  <c:x val="-7.1043606299883419E-2"/>
                  <c:y val="-0.1411111111111111"/>
                </c:manualLayout>
              </c:layout>
              <c:showLegendKey val="0"/>
              <c:showVal val="1"/>
              <c:showCatName val="0"/>
              <c:showSerName val="0"/>
              <c:showPercent val="1"/>
              <c:showBubbleSize val="0"/>
              <c:extLst>
                <c:ext xmlns:c15="http://schemas.microsoft.com/office/drawing/2012/chart" uri="{CE6537A1-D6FC-4f65-9D91-7224C49458BB}">
                  <c15:layout>
                    <c:manualLayout>
                      <c:w val="0.26307249919205133"/>
                      <c:h val="0.33367912930835153"/>
                    </c:manualLayout>
                  </c15:layout>
                </c:ext>
                <c:ext xmlns:c16="http://schemas.microsoft.com/office/drawing/2014/chart" uri="{C3380CC4-5D6E-409C-BE32-E72D297353CC}">
                  <c16:uniqueId val="{00000005-5F80-4311-87CD-0CC93794A73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Design'!$A$69:$A$71</c:f>
              <c:strCache>
                <c:ptCount val="3"/>
                <c:pt idx="0">
                  <c:v>High</c:v>
                </c:pt>
                <c:pt idx="1">
                  <c:v>Medium</c:v>
                </c:pt>
                <c:pt idx="2">
                  <c:v>Small</c:v>
                </c:pt>
              </c:strCache>
            </c:strRef>
          </c:cat>
          <c:val>
            <c:numRef>
              <c:f>'sheet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F80-4311-87CD-0CC93794A73E}"/>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26864270152505448"/>
          <c:y val="0"/>
          <c:w val="0.60202344518128004"/>
          <c:h val="0.103501740871723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 Grocery Store.xlsx]sheet Design!PivotTable16</c:name>
    <c:fmtId val="7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Design'!$B$89</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Design'!$A$90:$A$93</c:f>
              <c:strCache>
                <c:ptCount val="4"/>
                <c:pt idx="0">
                  <c:v>Grocery Store</c:v>
                </c:pt>
                <c:pt idx="1">
                  <c:v>Supermarket Type3</c:v>
                </c:pt>
                <c:pt idx="2">
                  <c:v>Supermarket Type2</c:v>
                </c:pt>
                <c:pt idx="3">
                  <c:v>Supermarket Type1</c:v>
                </c:pt>
              </c:strCache>
            </c:strRef>
          </c:cat>
          <c:val>
            <c:numRef>
              <c:f>'sheet Design'!$B$90:$B$93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FF2-4A60-A1A2-39E32A8E3303}"/>
            </c:ext>
          </c:extLst>
        </c:ser>
        <c:dLbls>
          <c:dLblPos val="outEnd"/>
          <c:showLegendKey val="0"/>
          <c:showVal val="1"/>
          <c:showCatName val="0"/>
          <c:showSerName val="0"/>
          <c:showPercent val="0"/>
          <c:showBubbleSize val="0"/>
        </c:dLbls>
        <c:gapWidth val="60"/>
        <c:axId val="1424985439"/>
        <c:axId val="1424981599"/>
      </c:barChart>
      <c:catAx>
        <c:axId val="142498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424981599"/>
        <c:crosses val="autoZero"/>
        <c:auto val="1"/>
        <c:lblAlgn val="ctr"/>
        <c:lblOffset val="100"/>
        <c:noMultiLvlLbl val="0"/>
      </c:catAx>
      <c:valAx>
        <c:axId val="1424981599"/>
        <c:scaling>
          <c:orientation val="minMax"/>
        </c:scaling>
        <c:delete val="1"/>
        <c:axPos val="b"/>
        <c:numFmt formatCode="&quot;₹&quot;0.0,&quot;K&quot;" sourceLinked="1"/>
        <c:majorTickMark val="none"/>
        <c:minorTickMark val="none"/>
        <c:tickLblPos val="nextTo"/>
        <c:crossAx val="142498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D1458ADD-F065-4D63-AB73-B596792B3FC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1458ADD-F065-4D63-AB73-B596792B3FC6}">
          <cx:tx>
            <cx:txData>
              <cx:f>_xlchart.v2.4</cx:f>
              <cx:v>Sales</cx:v>
            </cx:txData>
          </cx:tx>
          <cx:dataPt idx="0">
            <cx:spPr>
              <a:solidFill>
                <a:srgbClr val="964B00"/>
              </a:solidFill>
            </cx:spPr>
          </cx:dataPt>
          <cx:dataPt idx="1">
            <cx:spPr>
              <a:solidFill>
                <a:srgbClr val="FF0000"/>
              </a:solidFill>
            </cx:spPr>
          </cx:dataPt>
          <cx:dataPt idx="2">
            <cx:spPr>
              <a:solidFill>
                <a:srgbClr val="981C89"/>
              </a:solidFill>
            </cx:spPr>
          </cx:dataPt>
          <cx:dataLabels>
            <cx:txPr>
              <a:bodyPr spcFirstLastPara="1" vertOverflow="ellipsis" horzOverflow="overflow" wrap="square" lIns="0" tIns="0" rIns="0" bIns="0" anchor="ctr" anchorCtr="1"/>
              <a:lstStyle/>
              <a:p>
                <a:pPr algn="ctr" rtl="0">
                  <a:defRPr sz="1400">
                    <a:solidFill>
                      <a:schemeClr val="bg1"/>
                    </a:solidFill>
                  </a:defRPr>
                </a:pPr>
                <a:endParaRPr lang="en-US" sz="1400" b="0" i="0" u="none" strike="noStrike" baseline="0">
                  <a:solidFill>
                    <a:schemeClr val="bg1"/>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₹472.1K</a:t>
                  </a:r>
                </a:p>
              </cx:txPr>
            </cx:dataLabel>
          </cx:dataLabels>
          <cx:dataId val="0"/>
        </cx:series>
      </cx:plotAreaRegion>
      <cx:axis id="0">
        <cx:catScaling gapWidth="0.289999992"/>
        <cx:tickLabels/>
        <cx:txPr>
          <a:bodyPr spcFirstLastPara="1" vertOverflow="ellipsis" horzOverflow="overflow" wrap="square" lIns="0" tIns="0" rIns="0" bIns="0" anchor="ctr" anchorCtr="1"/>
          <a:lstStyle/>
          <a:p>
            <a:pPr algn="ctr" rtl="0">
              <a:defRPr b="1" i="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1"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xdr:col>
      <xdr:colOff>647700</xdr:colOff>
      <xdr:row>1</xdr:row>
      <xdr:rowOff>104775</xdr:rowOff>
    </xdr:from>
    <xdr:to>
      <xdr:col>7</xdr:col>
      <xdr:colOff>419099</xdr:colOff>
      <xdr:row>7</xdr:row>
      <xdr:rowOff>133350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78026F9-1251-1D9A-333B-66C2BD42439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284871" y="305301"/>
              <a:ext cx="1839327" cy="1231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128587</xdr:colOff>
      <xdr:row>10</xdr:row>
      <xdr:rowOff>123825</xdr:rowOff>
    </xdr:from>
    <xdr:to>
      <xdr:col>4</xdr:col>
      <xdr:colOff>400050</xdr:colOff>
      <xdr:row>18</xdr:row>
      <xdr:rowOff>190500</xdr:rowOff>
    </xdr:to>
    <xdr:graphicFrame macro="">
      <xdr:nvGraphicFramePr>
        <xdr:cNvPr id="4" name="Chart 3">
          <a:extLst>
            <a:ext uri="{FF2B5EF4-FFF2-40B4-BE49-F238E27FC236}">
              <a16:creationId xmlns:a16="http://schemas.microsoft.com/office/drawing/2014/main" id="{5FF253B2-C11D-1536-C365-9794B60A9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119062</xdr:colOff>
      <xdr:row>23</xdr:row>
      <xdr:rowOff>28575</xdr:rowOff>
    </xdr:from>
    <xdr:to>
      <xdr:col>6</xdr:col>
      <xdr:colOff>571500</xdr:colOff>
      <xdr:row>30</xdr:row>
      <xdr:rowOff>133350</xdr:rowOff>
    </xdr:to>
    <xdr:graphicFrame macro="">
      <xdr:nvGraphicFramePr>
        <xdr:cNvPr id="5" name="Chart 4">
          <a:extLst>
            <a:ext uri="{FF2B5EF4-FFF2-40B4-BE49-F238E27FC236}">
              <a16:creationId xmlns:a16="http://schemas.microsoft.com/office/drawing/2014/main" id="{BB6E380A-7397-4F89-1462-9413D234D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395287</xdr:colOff>
      <xdr:row>34</xdr:row>
      <xdr:rowOff>66675</xdr:rowOff>
    </xdr:from>
    <xdr:to>
      <xdr:col>9</xdr:col>
      <xdr:colOff>247651</xdr:colOff>
      <xdr:row>50</xdr:row>
      <xdr:rowOff>28575</xdr:rowOff>
    </xdr:to>
    <xdr:graphicFrame macro="">
      <xdr:nvGraphicFramePr>
        <xdr:cNvPr id="6" name="Chart 5">
          <a:extLst>
            <a:ext uri="{FF2B5EF4-FFF2-40B4-BE49-F238E27FC236}">
              <a16:creationId xmlns:a16="http://schemas.microsoft.com/office/drawing/2014/main" id="{E214B0EB-D50B-8F08-B5C2-E7893ED97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147637</xdr:colOff>
      <xdr:row>54</xdr:row>
      <xdr:rowOff>152400</xdr:rowOff>
    </xdr:from>
    <xdr:to>
      <xdr:col>6</xdr:col>
      <xdr:colOff>552450</xdr:colOff>
      <xdr:row>61</xdr:row>
      <xdr:rowOff>152399</xdr:rowOff>
    </xdr:to>
    <xdr:graphicFrame macro="">
      <xdr:nvGraphicFramePr>
        <xdr:cNvPr id="7" name="Chart 6">
          <a:extLst>
            <a:ext uri="{FF2B5EF4-FFF2-40B4-BE49-F238E27FC236}">
              <a16:creationId xmlns:a16="http://schemas.microsoft.com/office/drawing/2014/main" id="{7DC3E4D7-8FB4-E7A4-6AE5-FACFF055D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128587</xdr:colOff>
      <xdr:row>67</xdr:row>
      <xdr:rowOff>66675</xdr:rowOff>
    </xdr:from>
    <xdr:to>
      <xdr:col>5</xdr:col>
      <xdr:colOff>581025</xdr:colOff>
      <xdr:row>75</xdr:row>
      <xdr:rowOff>133350</xdr:rowOff>
    </xdr:to>
    <xdr:graphicFrame macro="">
      <xdr:nvGraphicFramePr>
        <xdr:cNvPr id="8" name="Chart 7">
          <a:extLst>
            <a:ext uri="{FF2B5EF4-FFF2-40B4-BE49-F238E27FC236}">
              <a16:creationId xmlns:a16="http://schemas.microsoft.com/office/drawing/2014/main" id="{E2030C6A-84E8-D2E9-96A0-D97CA50A5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481012</xdr:colOff>
      <xdr:row>78</xdr:row>
      <xdr:rowOff>123824</xdr:rowOff>
    </xdr:from>
    <xdr:to>
      <xdr:col>9</xdr:col>
      <xdr:colOff>190500</xdr:colOff>
      <xdr:row>84</xdr:row>
      <xdr:rowOff>133349</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00AE23D0-468C-C757-73E8-CE7DF14269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805487" y="15725774"/>
              <a:ext cx="2452688" cy="12096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361950</xdr:colOff>
      <xdr:row>88</xdr:row>
      <xdr:rowOff>85725</xdr:rowOff>
    </xdr:from>
    <xdr:to>
      <xdr:col>4</xdr:col>
      <xdr:colOff>104775</xdr:colOff>
      <xdr:row>92</xdr:row>
      <xdr:rowOff>142875</xdr:rowOff>
    </xdr:to>
    <xdr:graphicFrame macro="">
      <xdr:nvGraphicFramePr>
        <xdr:cNvPr id="11" name="Chart 10">
          <a:extLst>
            <a:ext uri="{FF2B5EF4-FFF2-40B4-BE49-F238E27FC236}">
              <a16:creationId xmlns:a16="http://schemas.microsoft.com/office/drawing/2014/main" id="{348DF0F3-7EDC-68DC-2203-DFB7B9365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600075</xdr:colOff>
      <xdr:row>6</xdr:row>
      <xdr:rowOff>168442</xdr:rowOff>
    </xdr:from>
    <xdr:to>
      <xdr:col>10</xdr:col>
      <xdr:colOff>360947</xdr:colOff>
      <xdr:row>20</xdr:row>
      <xdr:rowOff>28074</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8B788F98-8E5A-0906-1364-7B21324B969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305174" y="13716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236621</xdr:colOff>
      <xdr:row>7</xdr:row>
      <xdr:rowOff>68179</xdr:rowOff>
    </xdr:from>
    <xdr:to>
      <xdr:col>13</xdr:col>
      <xdr:colOff>686803</xdr:colOff>
      <xdr:row>20</xdr:row>
      <xdr:rowOff>128337</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6439532C-83EC-3146-99D0-E41C2BC8B08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698957" y="1471863"/>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21</xdr:col>
      <xdr:colOff>649763</xdr:colOff>
      <xdr:row>12</xdr:row>
      <xdr:rowOff>1851</xdr:rowOff>
    </xdr:from>
    <xdr:to>
      <xdr:col>31</xdr:col>
      <xdr:colOff>183814</xdr:colOff>
      <xdr:row>37</xdr:row>
      <xdr:rowOff>50134</xdr:rowOff>
    </xdr:to>
    <xdr:sp macro="" textlink="">
      <xdr:nvSpPr>
        <xdr:cNvPr id="2" name="Rectangle: Rounded Corners 1">
          <a:extLst>
            <a:ext uri="{FF2B5EF4-FFF2-40B4-BE49-F238E27FC236}">
              <a16:creationId xmlns:a16="http://schemas.microsoft.com/office/drawing/2014/main" id="{D34AE474-E5E5-4147-91C9-E75D162E84D2}"/>
            </a:ext>
          </a:extLst>
        </xdr:cNvPr>
        <xdr:cNvSpPr/>
      </xdr:nvSpPr>
      <xdr:spPr>
        <a:xfrm rot="5400000">
          <a:off x="16384621" y="1746204"/>
          <a:ext cx="5061441" cy="6385367"/>
        </a:xfrm>
        <a:prstGeom prst="roundRect">
          <a:avLst>
            <a:gd name="adj" fmla="val 6667"/>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226350</xdr:colOff>
      <xdr:row>11</xdr:row>
      <xdr:rowOff>185901</xdr:rowOff>
    </xdr:from>
    <xdr:to>
      <xdr:col>4</xdr:col>
      <xdr:colOff>529420</xdr:colOff>
      <xdr:row>38</xdr:row>
      <xdr:rowOff>83553</xdr:rowOff>
    </xdr:to>
    <xdr:sp macro="" textlink="">
      <xdr:nvSpPr>
        <xdr:cNvPr id="61" name="Rectangle: Rounded Corners 60">
          <a:extLst>
            <a:ext uri="{FF2B5EF4-FFF2-40B4-BE49-F238E27FC236}">
              <a16:creationId xmlns:a16="http://schemas.microsoft.com/office/drawing/2014/main" id="{5DB95C5C-F04A-48F5-B628-5B843DC5932E}"/>
            </a:ext>
          </a:extLst>
        </xdr:cNvPr>
        <xdr:cNvSpPr/>
      </xdr:nvSpPr>
      <xdr:spPr>
        <a:xfrm>
          <a:off x="226350" y="2391690"/>
          <a:ext cx="3043596" cy="5311863"/>
        </a:xfrm>
        <a:prstGeom prst="roundRect">
          <a:avLst>
            <a:gd name="adj" fmla="val 6667"/>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147660</xdr:rowOff>
    </xdr:from>
    <xdr:to>
      <xdr:col>31</xdr:col>
      <xdr:colOff>651711</xdr:colOff>
      <xdr:row>38</xdr:row>
      <xdr:rowOff>83553</xdr:rowOff>
    </xdr:to>
    <xdr:sp macro="" textlink="">
      <xdr:nvSpPr>
        <xdr:cNvPr id="3" name="Rectangle 2">
          <a:extLst>
            <a:ext uri="{FF2B5EF4-FFF2-40B4-BE49-F238E27FC236}">
              <a16:creationId xmlns:a16="http://schemas.microsoft.com/office/drawing/2014/main" id="{B5B5D89D-BA74-71EE-B4FF-21B10DD15DCA}"/>
            </a:ext>
          </a:extLst>
        </xdr:cNvPr>
        <xdr:cNvSpPr/>
      </xdr:nvSpPr>
      <xdr:spPr>
        <a:xfrm>
          <a:off x="0" y="147660"/>
          <a:ext cx="21890790" cy="755589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297884</xdr:colOff>
      <xdr:row>0</xdr:row>
      <xdr:rowOff>167106</xdr:rowOff>
    </xdr:from>
    <xdr:to>
      <xdr:col>26</xdr:col>
      <xdr:colOff>618289</xdr:colOff>
      <xdr:row>4</xdr:row>
      <xdr:rowOff>116975</xdr:rowOff>
    </xdr:to>
    <xdr:sp macro="" textlink="">
      <xdr:nvSpPr>
        <xdr:cNvPr id="4" name="Rectangle: Rounded Corners 3">
          <a:extLst>
            <a:ext uri="{FF2B5EF4-FFF2-40B4-BE49-F238E27FC236}">
              <a16:creationId xmlns:a16="http://schemas.microsoft.com/office/drawing/2014/main" id="{739D8490-C635-C8E8-0645-E78FB94934E4}"/>
            </a:ext>
          </a:extLst>
        </xdr:cNvPr>
        <xdr:cNvSpPr/>
      </xdr:nvSpPr>
      <xdr:spPr>
        <a:xfrm>
          <a:off x="3038410" y="167106"/>
          <a:ext cx="15393300" cy="751974"/>
        </a:xfrm>
        <a:prstGeom prst="roundRect">
          <a:avLst>
            <a:gd name="adj" fmla="val 9314"/>
          </a:avLst>
        </a:prstGeom>
        <a:solidFill>
          <a:srgbClr val="98FB98"/>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800">
              <a:solidFill>
                <a:srgbClr val="006400"/>
              </a:solidFill>
            </a:rPr>
            <a:t>                          </a:t>
          </a:r>
          <a:r>
            <a:rPr lang="en-IN" sz="4800" b="1" i="1">
              <a:solidFill>
                <a:srgbClr val="006400"/>
              </a:solidFill>
              <a:latin typeface="Berlin Sans FB" panose="020E0602020502020306" pitchFamily="34" charset="0"/>
            </a:rPr>
            <a:t>Ganesh</a:t>
          </a:r>
          <a:r>
            <a:rPr lang="en-IN" sz="4800" b="1" i="1" baseline="0">
              <a:solidFill>
                <a:srgbClr val="006400"/>
              </a:solidFill>
              <a:latin typeface="Berlin Sans FB" panose="020E0602020502020306" pitchFamily="34" charset="0"/>
            </a:rPr>
            <a:t> Grocery Store Analysis</a:t>
          </a:r>
          <a:endParaRPr lang="en-IN" sz="4800" b="1" i="1">
            <a:solidFill>
              <a:srgbClr val="006400"/>
            </a:solidFill>
            <a:latin typeface="Berlin Sans FB" panose="020E0602020502020306" pitchFamily="34" charset="0"/>
          </a:endParaRPr>
        </a:p>
      </xdr:txBody>
    </xdr:sp>
    <xdr:clientData/>
  </xdr:twoCellAnchor>
  <xdr:twoCellAnchor>
    <xdr:from>
      <xdr:col>0</xdr:col>
      <xdr:colOff>133683</xdr:colOff>
      <xdr:row>5</xdr:row>
      <xdr:rowOff>145135</xdr:rowOff>
    </xdr:from>
    <xdr:to>
      <xdr:col>31</xdr:col>
      <xdr:colOff>534737</xdr:colOff>
      <xdr:row>11</xdr:row>
      <xdr:rowOff>25906</xdr:rowOff>
    </xdr:to>
    <xdr:grpSp>
      <xdr:nvGrpSpPr>
        <xdr:cNvPr id="9" name="Group 8">
          <a:extLst>
            <a:ext uri="{FF2B5EF4-FFF2-40B4-BE49-F238E27FC236}">
              <a16:creationId xmlns:a16="http://schemas.microsoft.com/office/drawing/2014/main" id="{4BA40E85-394F-761F-89B1-AF663BD6C97E}"/>
            </a:ext>
          </a:extLst>
        </xdr:cNvPr>
        <xdr:cNvGrpSpPr/>
      </xdr:nvGrpSpPr>
      <xdr:grpSpPr>
        <a:xfrm>
          <a:off x="133683" y="1147767"/>
          <a:ext cx="21640133" cy="1083928"/>
          <a:chOff x="2001630" y="1353379"/>
          <a:chExt cx="14015810" cy="1047600"/>
        </a:xfrm>
      </xdr:grpSpPr>
      <xdr:sp macro="" textlink="">
        <xdr:nvSpPr>
          <xdr:cNvPr id="5" name="Rectangle: Rounded Corners 4">
            <a:extLst>
              <a:ext uri="{FF2B5EF4-FFF2-40B4-BE49-F238E27FC236}">
                <a16:creationId xmlns:a16="http://schemas.microsoft.com/office/drawing/2014/main" id="{4BA10D3A-EBB8-8785-8E50-C0C1B36DAE28}"/>
              </a:ext>
            </a:extLst>
          </xdr:cNvPr>
          <xdr:cNvSpPr/>
        </xdr:nvSpPr>
        <xdr:spPr>
          <a:xfrm>
            <a:off x="2001630" y="1353379"/>
            <a:ext cx="2736000" cy="1047600"/>
          </a:xfrm>
          <a:prstGeom prst="roundRect">
            <a:avLst>
              <a:gd name="adj" fmla="val 6125"/>
            </a:avLst>
          </a:prstGeom>
          <a:gradFill>
            <a:gsLst>
              <a:gs pos="0">
                <a:srgbClr val="98FB98"/>
              </a:gs>
              <a:gs pos="100000">
                <a:srgbClr val="006400">
                  <a:alpha val="45000"/>
                </a:srgbClr>
              </a:gs>
            </a:gsLst>
            <a:lin ang="0" scaled="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E768E431-868C-4626-B34B-75DBD3EEC13E}"/>
              </a:ext>
            </a:extLst>
          </xdr:cNvPr>
          <xdr:cNvSpPr/>
        </xdr:nvSpPr>
        <xdr:spPr>
          <a:xfrm>
            <a:off x="5761567" y="1353379"/>
            <a:ext cx="2736000" cy="1047600"/>
          </a:xfrm>
          <a:prstGeom prst="roundRect">
            <a:avLst>
              <a:gd name="adj" fmla="val 8760"/>
            </a:avLst>
          </a:prstGeom>
          <a:gradFill>
            <a:gsLst>
              <a:gs pos="28000">
                <a:srgbClr val="98FB98"/>
              </a:gs>
              <a:gs pos="100000">
                <a:srgbClr val="006400">
                  <a:alpha val="45000"/>
                </a:srgbClr>
              </a:gs>
            </a:gsLst>
            <a:lin ang="0" scaled="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B281B18-7387-41E3-B36A-D325E4508C1A}"/>
              </a:ext>
            </a:extLst>
          </xdr:cNvPr>
          <xdr:cNvSpPr/>
        </xdr:nvSpPr>
        <xdr:spPr>
          <a:xfrm>
            <a:off x="9521504" y="1353379"/>
            <a:ext cx="2736000" cy="1047600"/>
          </a:xfrm>
          <a:prstGeom prst="roundRect">
            <a:avLst>
              <a:gd name="adj" fmla="val 11396"/>
            </a:avLst>
          </a:prstGeom>
          <a:gradFill>
            <a:gsLst>
              <a:gs pos="28000">
                <a:srgbClr val="98FB98"/>
              </a:gs>
              <a:gs pos="100000">
                <a:srgbClr val="006400">
                  <a:alpha val="45000"/>
                </a:srgbClr>
              </a:gs>
            </a:gsLst>
            <a:lin ang="0" scaled="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4DE12FE-1902-4EF8-9690-37CD3230A959}"/>
              </a:ext>
            </a:extLst>
          </xdr:cNvPr>
          <xdr:cNvSpPr/>
        </xdr:nvSpPr>
        <xdr:spPr>
          <a:xfrm>
            <a:off x="13281440" y="1353379"/>
            <a:ext cx="2736000" cy="1047600"/>
          </a:xfrm>
          <a:prstGeom prst="roundRect">
            <a:avLst>
              <a:gd name="adj" fmla="val 7443"/>
            </a:avLst>
          </a:prstGeom>
          <a:gradFill>
            <a:gsLst>
              <a:gs pos="28000">
                <a:srgbClr val="98FB98"/>
              </a:gs>
              <a:gs pos="100000">
                <a:srgbClr val="006400">
                  <a:alpha val="45000"/>
                </a:srgbClr>
              </a:gs>
            </a:gsLst>
            <a:lin ang="0" scaled="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1</xdr:col>
      <xdr:colOff>248476</xdr:colOff>
      <xdr:row>7</xdr:row>
      <xdr:rowOff>138043</xdr:rowOff>
    </xdr:from>
    <xdr:ext cx="1518479" cy="510761"/>
    <xdr:sp macro="" textlink="'sheet Design'!R26">
      <xdr:nvSpPr>
        <xdr:cNvPr id="10" name="TextBox 9">
          <a:extLst>
            <a:ext uri="{FF2B5EF4-FFF2-40B4-BE49-F238E27FC236}">
              <a16:creationId xmlns:a16="http://schemas.microsoft.com/office/drawing/2014/main" id="{8FB3A495-E279-6758-3230-C341F8ECC1F5}"/>
            </a:ext>
          </a:extLst>
        </xdr:cNvPr>
        <xdr:cNvSpPr txBox="1"/>
      </xdr:nvSpPr>
      <xdr:spPr>
        <a:xfrm>
          <a:off x="2323099" y="1508077"/>
          <a:ext cx="1518479" cy="51076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2833F90-12FA-4E11-8D92-0DA218139E25}" type="TxLink">
            <a:rPr lang="en-US" sz="2400" b="0" i="0" u="none" strike="noStrike">
              <a:solidFill>
                <a:srgbClr val="000000"/>
              </a:solidFill>
              <a:latin typeface="Arial Black" panose="020B0A04020102020204" pitchFamily="34" charset="0"/>
              <a:ea typeface="Calibri"/>
              <a:cs typeface="Calibri"/>
            </a:rPr>
            <a:pPr algn="ctr"/>
            <a:t> </a:t>
          </a:fld>
          <a:endParaRPr lang="en-IN" sz="2400" b="0">
            <a:latin typeface="Arial Black" panose="020B0A04020102020204" pitchFamily="34" charset="0"/>
          </a:endParaRPr>
        </a:p>
      </xdr:txBody>
    </xdr:sp>
    <xdr:clientData/>
  </xdr:oneCellAnchor>
  <xdr:twoCellAnchor>
    <xdr:from>
      <xdr:col>0</xdr:col>
      <xdr:colOff>535155</xdr:colOff>
      <xdr:row>13</xdr:row>
      <xdr:rowOff>172598</xdr:rowOff>
    </xdr:from>
    <xdr:to>
      <xdr:col>4</xdr:col>
      <xdr:colOff>379784</xdr:colOff>
      <xdr:row>20</xdr:row>
      <xdr:rowOff>117385</xdr:rowOff>
    </xdr:to>
    <mc:AlternateContent xmlns:mc="http://schemas.openxmlformats.org/markup-compatibility/2006" xmlns:a14="http://schemas.microsoft.com/office/drawing/2010/main">
      <mc:Choice Requires="a14">
        <xdr:graphicFrame macro="">
          <xdr:nvGraphicFramePr>
            <xdr:cNvPr id="11" name="Outlet Size 1">
              <a:extLst>
                <a:ext uri="{FF2B5EF4-FFF2-40B4-BE49-F238E27FC236}">
                  <a16:creationId xmlns:a16="http://schemas.microsoft.com/office/drawing/2014/main" id="{02025CBE-4CBD-4B0C-9531-A72A45E2D68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35155" y="2779440"/>
              <a:ext cx="2585155" cy="1348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38508</xdr:colOff>
      <xdr:row>9</xdr:row>
      <xdr:rowOff>29788</xdr:rowOff>
    </xdr:from>
    <xdr:ext cx="1311412" cy="262281"/>
    <xdr:sp macro="" textlink="">
      <xdr:nvSpPr>
        <xdr:cNvPr id="13" name="TextBox 12">
          <a:extLst>
            <a:ext uri="{FF2B5EF4-FFF2-40B4-BE49-F238E27FC236}">
              <a16:creationId xmlns:a16="http://schemas.microsoft.com/office/drawing/2014/main" id="{0D2E618F-B1C1-0BB1-8288-EAB1FA8BA19C}"/>
            </a:ext>
          </a:extLst>
        </xdr:cNvPr>
        <xdr:cNvSpPr txBox="1"/>
      </xdr:nvSpPr>
      <xdr:spPr>
        <a:xfrm>
          <a:off x="2093903" y="1834525"/>
          <a:ext cx="1311412" cy="26228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1" i="1">
              <a:latin typeface="Segoe UI Semibold" panose="020B0702040204020203" pitchFamily="34" charset="0"/>
              <a:cs typeface="Segoe UI Semibold" panose="020B0702040204020203" pitchFamily="34" charset="0"/>
            </a:rPr>
            <a:t>Total Sales</a:t>
          </a:r>
        </a:p>
      </xdr:txBody>
    </xdr:sp>
    <xdr:clientData/>
  </xdr:oneCellAnchor>
  <xdr:oneCellAnchor>
    <xdr:from>
      <xdr:col>10</xdr:col>
      <xdr:colOff>512764</xdr:colOff>
      <xdr:row>5</xdr:row>
      <xdr:rowOff>183641</xdr:rowOff>
    </xdr:from>
    <xdr:ext cx="1421299" cy="593034"/>
    <xdr:sp macro="" textlink="'sheet Design'!B7">
      <xdr:nvSpPr>
        <xdr:cNvPr id="15" name="TextBox 14">
          <a:extLst>
            <a:ext uri="{FF2B5EF4-FFF2-40B4-BE49-F238E27FC236}">
              <a16:creationId xmlns:a16="http://schemas.microsoft.com/office/drawing/2014/main" id="{43A1C7DA-81A4-4DD2-86E8-6601A39615D2}"/>
            </a:ext>
          </a:extLst>
        </xdr:cNvPr>
        <xdr:cNvSpPr txBox="1"/>
      </xdr:nvSpPr>
      <xdr:spPr>
        <a:xfrm>
          <a:off x="8049211" y="1186273"/>
          <a:ext cx="1421299" cy="59303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AC95D28-6FBC-44C5-A91D-4C40CD1D7874}" type="TxLink">
            <a:rPr lang="en-US" sz="2400" b="0" i="0" u="none" strike="noStrike">
              <a:solidFill>
                <a:srgbClr val="000000"/>
              </a:solidFill>
              <a:latin typeface="Arial Black" panose="020B0A04020102020204" pitchFamily="34" charset="0"/>
              <a:ea typeface="Calibri"/>
              <a:cs typeface="Calibri"/>
            </a:rPr>
            <a:pPr marL="0" indent="0" algn="ctr"/>
            <a:t>₹141</a:t>
          </a:fld>
          <a:endParaRPr lang="en-IN" sz="2400" b="0" i="0" u="none" strike="noStrike">
            <a:solidFill>
              <a:srgbClr val="000000"/>
            </a:solidFill>
            <a:latin typeface="Arial Black" panose="020B0A04020102020204" pitchFamily="34" charset="0"/>
            <a:ea typeface="Calibri"/>
            <a:cs typeface="Calibri"/>
          </a:endParaRPr>
        </a:p>
      </xdr:txBody>
    </xdr:sp>
    <xdr:clientData/>
  </xdr:oneCellAnchor>
  <xdr:oneCellAnchor>
    <xdr:from>
      <xdr:col>10</xdr:col>
      <xdr:colOff>520760</xdr:colOff>
      <xdr:row>8</xdr:row>
      <xdr:rowOff>189454</xdr:rowOff>
    </xdr:from>
    <xdr:ext cx="1311412" cy="262281"/>
    <xdr:sp macro="" textlink="">
      <xdr:nvSpPr>
        <xdr:cNvPr id="16" name="TextBox 15">
          <a:extLst>
            <a:ext uri="{FF2B5EF4-FFF2-40B4-BE49-F238E27FC236}">
              <a16:creationId xmlns:a16="http://schemas.microsoft.com/office/drawing/2014/main" id="{8D90F6C7-838C-4884-9DA9-302BB93F6BDD}"/>
            </a:ext>
          </a:extLst>
        </xdr:cNvPr>
        <xdr:cNvSpPr txBox="1"/>
      </xdr:nvSpPr>
      <xdr:spPr>
        <a:xfrm>
          <a:off x="8057207" y="1793665"/>
          <a:ext cx="1311412" cy="26228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1" i="1">
              <a:latin typeface="Segoe UI Semibold" panose="020B0702040204020203" pitchFamily="34" charset="0"/>
              <a:cs typeface="Segoe UI Semibold" panose="020B0702040204020203" pitchFamily="34" charset="0"/>
            </a:rPr>
            <a:t>Avg Sales</a:t>
          </a:r>
        </a:p>
      </xdr:txBody>
    </xdr:sp>
    <xdr:clientData/>
  </xdr:oneCellAnchor>
  <xdr:oneCellAnchor>
    <xdr:from>
      <xdr:col>19</xdr:col>
      <xdr:colOff>112989</xdr:colOff>
      <xdr:row>5</xdr:row>
      <xdr:rowOff>161671</xdr:rowOff>
    </xdr:from>
    <xdr:ext cx="1421299" cy="593034"/>
    <xdr:sp macro="" textlink="'sheet Design'!C7">
      <xdr:nvSpPr>
        <xdr:cNvPr id="17" name="TextBox 16">
          <a:extLst>
            <a:ext uri="{FF2B5EF4-FFF2-40B4-BE49-F238E27FC236}">
              <a16:creationId xmlns:a16="http://schemas.microsoft.com/office/drawing/2014/main" id="{A14CDFD5-2EC7-44E5-88AA-0CCC07839A79}"/>
            </a:ext>
          </a:extLst>
        </xdr:cNvPr>
        <xdr:cNvSpPr txBox="1"/>
      </xdr:nvSpPr>
      <xdr:spPr>
        <a:xfrm>
          <a:off x="13815621" y="1164303"/>
          <a:ext cx="1421299" cy="59303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858C09E-C0AA-45F3-BD13-B947FC4C471F}" type="TxLink">
            <a:rPr lang="en-US" sz="2400" b="0" i="0" u="none" strike="noStrike">
              <a:solidFill>
                <a:srgbClr val="000000"/>
              </a:solidFill>
              <a:latin typeface="Arial Black" panose="020B0A04020102020204" pitchFamily="34" charset="0"/>
              <a:ea typeface="Calibri"/>
              <a:cs typeface="Calibri"/>
            </a:rPr>
            <a:pPr marL="0" indent="0" algn="ctr"/>
            <a:t>8523</a:t>
          </a:fld>
          <a:endParaRPr lang="en-IN" sz="2400" b="0" i="0" u="none" strike="noStrike">
            <a:solidFill>
              <a:srgbClr val="000000"/>
            </a:solidFill>
            <a:latin typeface="Arial Black" panose="020B0A04020102020204" pitchFamily="34" charset="0"/>
            <a:ea typeface="Calibri"/>
            <a:cs typeface="Calibri"/>
          </a:endParaRPr>
        </a:p>
      </xdr:txBody>
    </xdr:sp>
    <xdr:clientData/>
  </xdr:oneCellAnchor>
  <xdr:oneCellAnchor>
    <xdr:from>
      <xdr:col>19</xdr:col>
      <xdr:colOff>26534</xdr:colOff>
      <xdr:row>8</xdr:row>
      <xdr:rowOff>77739</xdr:rowOff>
    </xdr:from>
    <xdr:ext cx="1544981" cy="401429"/>
    <xdr:sp macro="" textlink="">
      <xdr:nvSpPr>
        <xdr:cNvPr id="18" name="TextBox 17">
          <a:extLst>
            <a:ext uri="{FF2B5EF4-FFF2-40B4-BE49-F238E27FC236}">
              <a16:creationId xmlns:a16="http://schemas.microsoft.com/office/drawing/2014/main" id="{8EFE65BC-3BD2-4F3D-9A9C-483757814364}"/>
            </a:ext>
          </a:extLst>
        </xdr:cNvPr>
        <xdr:cNvSpPr txBox="1"/>
      </xdr:nvSpPr>
      <xdr:spPr>
        <a:xfrm>
          <a:off x="13729166" y="1681950"/>
          <a:ext cx="1544981" cy="4014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1" i="1">
              <a:solidFill>
                <a:schemeClr val="tx1"/>
              </a:solidFill>
              <a:latin typeface="Segoe UI Semibold" panose="020B0702040204020203" pitchFamily="34" charset="0"/>
              <a:ea typeface="+mn-ea"/>
              <a:cs typeface="Segoe UI Semibold" panose="020B0702040204020203" pitchFamily="34" charset="0"/>
            </a:rPr>
            <a:t>No of Items</a:t>
          </a:r>
        </a:p>
      </xdr:txBody>
    </xdr:sp>
    <xdr:clientData/>
  </xdr:oneCellAnchor>
  <xdr:oneCellAnchor>
    <xdr:from>
      <xdr:col>27</xdr:col>
      <xdr:colOff>352574</xdr:colOff>
      <xdr:row>5</xdr:row>
      <xdr:rowOff>179660</xdr:rowOff>
    </xdr:from>
    <xdr:ext cx="1769663" cy="593034"/>
    <xdr:sp macro="" textlink="'sheet Design'!D7">
      <xdr:nvSpPr>
        <xdr:cNvPr id="19" name="TextBox 18">
          <a:extLst>
            <a:ext uri="{FF2B5EF4-FFF2-40B4-BE49-F238E27FC236}">
              <a16:creationId xmlns:a16="http://schemas.microsoft.com/office/drawing/2014/main" id="{205DF9A8-C5B1-453F-A474-F93A5F53A84C}"/>
            </a:ext>
          </a:extLst>
        </xdr:cNvPr>
        <xdr:cNvSpPr txBox="1"/>
      </xdr:nvSpPr>
      <xdr:spPr>
        <a:xfrm>
          <a:off x="19536258" y="1182292"/>
          <a:ext cx="1769663" cy="59303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5137379E-8AD8-4BFF-BF2C-252781358964}" type="TxLink">
            <a:rPr lang="en-US" sz="2400" b="0" i="0" u="none" strike="noStrike">
              <a:solidFill>
                <a:srgbClr val="000000"/>
              </a:solidFill>
              <a:latin typeface="Arial Black" panose="020B0A04020102020204" pitchFamily="34" charset="0"/>
              <a:ea typeface="Calibri"/>
              <a:cs typeface="Calibri"/>
            </a:rPr>
            <a:pPr marL="0" indent="0" algn="ctr"/>
            <a:t>4.0</a:t>
          </a:fld>
          <a:endParaRPr lang="en-IN" sz="2400" b="0" i="0" u="none" strike="noStrike">
            <a:solidFill>
              <a:srgbClr val="000000"/>
            </a:solidFill>
            <a:latin typeface="Arial Black" panose="020B0A04020102020204" pitchFamily="34" charset="0"/>
            <a:ea typeface="Calibri"/>
            <a:cs typeface="Calibri"/>
          </a:endParaRPr>
        </a:p>
      </xdr:txBody>
    </xdr:sp>
    <xdr:clientData/>
  </xdr:oneCellAnchor>
  <xdr:oneCellAnchor>
    <xdr:from>
      <xdr:col>27</xdr:col>
      <xdr:colOff>478270</xdr:colOff>
      <xdr:row>8</xdr:row>
      <xdr:rowOff>102268</xdr:rowOff>
    </xdr:from>
    <xdr:ext cx="1544981" cy="401429"/>
    <xdr:sp macro="" textlink="">
      <xdr:nvSpPr>
        <xdr:cNvPr id="20" name="TextBox 19">
          <a:extLst>
            <a:ext uri="{FF2B5EF4-FFF2-40B4-BE49-F238E27FC236}">
              <a16:creationId xmlns:a16="http://schemas.microsoft.com/office/drawing/2014/main" id="{55E93DEB-238F-441C-9898-A76B6368F21F}"/>
            </a:ext>
          </a:extLst>
        </xdr:cNvPr>
        <xdr:cNvSpPr txBox="1"/>
      </xdr:nvSpPr>
      <xdr:spPr>
        <a:xfrm>
          <a:off x="19661954" y="1706479"/>
          <a:ext cx="1544981" cy="4014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1" i="1">
              <a:solidFill>
                <a:schemeClr val="tx1"/>
              </a:solidFill>
              <a:latin typeface="Segoe UI Semibold" panose="020B0702040204020203" pitchFamily="34" charset="0"/>
              <a:ea typeface="+mn-ea"/>
              <a:cs typeface="Segoe UI Semibold" panose="020B0702040204020203" pitchFamily="34" charset="0"/>
            </a:rPr>
            <a:t>Avg</a:t>
          </a:r>
          <a:r>
            <a:rPr lang="en-IN" sz="1800" b="1" i="1" baseline="0">
              <a:solidFill>
                <a:schemeClr val="tx1"/>
              </a:solidFill>
              <a:latin typeface="Segoe UI Semibold" panose="020B0702040204020203" pitchFamily="34" charset="0"/>
              <a:ea typeface="+mn-ea"/>
              <a:cs typeface="Segoe UI Semibold" panose="020B0702040204020203" pitchFamily="34" charset="0"/>
            </a:rPr>
            <a:t> Rating</a:t>
          </a:r>
          <a:endParaRPr lang="en-IN" sz="1800" b="1" i="1">
            <a:solidFill>
              <a:schemeClr val="tx1"/>
            </a:solidFill>
            <a:latin typeface="Segoe UI Semibold" panose="020B0702040204020203" pitchFamily="34" charset="0"/>
            <a:ea typeface="+mn-ea"/>
            <a:cs typeface="Segoe UI Semibold" panose="020B0702040204020203" pitchFamily="34" charset="0"/>
          </a:endParaRPr>
        </a:p>
      </xdr:txBody>
    </xdr:sp>
    <xdr:clientData/>
  </xdr:oneCellAnchor>
  <xdr:oneCellAnchor>
    <xdr:from>
      <xdr:col>1</xdr:col>
      <xdr:colOff>183817</xdr:colOff>
      <xdr:row>5</xdr:row>
      <xdr:rowOff>133684</xdr:rowOff>
    </xdr:from>
    <xdr:ext cx="2389605" cy="671152"/>
    <xdr:sp macro="" textlink="'sheet Design'!A7">
      <xdr:nvSpPr>
        <xdr:cNvPr id="21" name="TextBox 20">
          <a:extLst>
            <a:ext uri="{FF2B5EF4-FFF2-40B4-BE49-F238E27FC236}">
              <a16:creationId xmlns:a16="http://schemas.microsoft.com/office/drawing/2014/main" id="{583DEDD5-76D6-41AB-BD65-6756B8006EC6}"/>
            </a:ext>
          </a:extLst>
        </xdr:cNvPr>
        <xdr:cNvSpPr txBox="1"/>
      </xdr:nvSpPr>
      <xdr:spPr>
        <a:xfrm>
          <a:off x="1554080" y="1136316"/>
          <a:ext cx="2389605" cy="67115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FDC6629-7CA9-414E-AADD-26DA1568B74F}" type="TxLink">
            <a:rPr lang="en-US" sz="2400" b="0" i="0" u="none" strike="noStrike">
              <a:solidFill>
                <a:srgbClr val="000000"/>
              </a:solidFill>
              <a:latin typeface="Arial Black" panose="020B0A04020102020204" pitchFamily="34" charset="0"/>
              <a:ea typeface="Calibri"/>
              <a:cs typeface="Calibri"/>
            </a:rPr>
            <a:pPr marL="0" indent="0" algn="ctr"/>
            <a:t>₹1.20M</a:t>
          </a:fld>
          <a:endParaRPr lang="en-IN" sz="2400" b="0" i="0" u="none" strike="noStrike">
            <a:solidFill>
              <a:srgbClr val="000000"/>
            </a:solidFill>
            <a:latin typeface="Arial Black" panose="020B0A04020102020204" pitchFamily="34" charset="0"/>
            <a:ea typeface="Calibri"/>
            <a:cs typeface="Calibri"/>
          </a:endParaRPr>
        </a:p>
      </xdr:txBody>
    </xdr:sp>
    <xdr:clientData/>
  </xdr:oneCellAnchor>
  <xdr:twoCellAnchor>
    <xdr:from>
      <xdr:col>5</xdr:col>
      <xdr:colOff>47958</xdr:colOff>
      <xdr:row>12</xdr:row>
      <xdr:rowOff>23627</xdr:rowOff>
    </xdr:from>
    <xdr:to>
      <xdr:col>15</xdr:col>
      <xdr:colOff>237580</xdr:colOff>
      <xdr:row>37</xdr:row>
      <xdr:rowOff>81274</xdr:rowOff>
    </xdr:to>
    <xdr:sp macro="" textlink="">
      <xdr:nvSpPr>
        <xdr:cNvPr id="22" name="Rectangle: Rounded Corners 21">
          <a:extLst>
            <a:ext uri="{FF2B5EF4-FFF2-40B4-BE49-F238E27FC236}">
              <a16:creationId xmlns:a16="http://schemas.microsoft.com/office/drawing/2014/main" id="{9071CFE9-9AA3-EF82-0C58-7063089DFA66}"/>
            </a:ext>
          </a:extLst>
        </xdr:cNvPr>
        <xdr:cNvSpPr/>
      </xdr:nvSpPr>
      <xdr:spPr>
        <a:xfrm>
          <a:off x="4158747" y="2429943"/>
          <a:ext cx="7040938" cy="5070805"/>
        </a:xfrm>
        <a:prstGeom prst="roundRect">
          <a:avLst>
            <a:gd name="adj" fmla="val 6667"/>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484013</xdr:colOff>
      <xdr:row>12</xdr:row>
      <xdr:rowOff>29917</xdr:rowOff>
    </xdr:from>
    <xdr:ext cx="1196730" cy="372189"/>
    <xdr:sp macro="" textlink="">
      <xdr:nvSpPr>
        <xdr:cNvPr id="24" name="TextBox 23">
          <a:extLst>
            <a:ext uri="{FF2B5EF4-FFF2-40B4-BE49-F238E27FC236}">
              <a16:creationId xmlns:a16="http://schemas.microsoft.com/office/drawing/2014/main" id="{AB16612E-8E32-49C8-AF27-C8FDE4C8C9E6}"/>
            </a:ext>
          </a:extLst>
        </xdr:cNvPr>
        <xdr:cNvSpPr txBox="1"/>
      </xdr:nvSpPr>
      <xdr:spPr>
        <a:xfrm>
          <a:off x="8705592" y="2436233"/>
          <a:ext cx="1196730" cy="372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i="1">
              <a:solidFill>
                <a:schemeClr val="tx1"/>
              </a:solidFill>
              <a:latin typeface="Segoe UI Semibold" panose="020B0702040204020203" pitchFamily="34" charset="0"/>
              <a:ea typeface="+mn-ea"/>
              <a:cs typeface="Segoe UI Semibold" panose="020B0702040204020203" pitchFamily="34" charset="0"/>
            </a:rPr>
            <a:t>FAT</a:t>
          </a:r>
          <a:r>
            <a:rPr lang="en-IN" sz="1200" b="1" i="1" baseline="0">
              <a:solidFill>
                <a:schemeClr val="tx1"/>
              </a:solidFill>
              <a:latin typeface="Segoe UI Semibold" panose="020B0702040204020203" pitchFamily="34" charset="0"/>
              <a:ea typeface="+mn-ea"/>
              <a:cs typeface="Segoe UI Semibold" panose="020B0702040204020203" pitchFamily="34" charset="0"/>
            </a:rPr>
            <a:t> CONTENT</a:t>
          </a:r>
          <a:endParaRPr lang="en-IN" sz="1200" b="1" i="1">
            <a:solidFill>
              <a:schemeClr val="tx1"/>
            </a:solidFill>
            <a:latin typeface="Segoe UI Semibold" panose="020B0702040204020203" pitchFamily="34" charset="0"/>
            <a:ea typeface="+mn-ea"/>
            <a:cs typeface="Segoe UI Semibold" panose="020B0702040204020203" pitchFamily="34" charset="0"/>
          </a:endParaRPr>
        </a:p>
      </xdr:txBody>
    </xdr:sp>
    <xdr:clientData/>
  </xdr:oneCellAnchor>
  <xdr:twoCellAnchor>
    <xdr:from>
      <xdr:col>10</xdr:col>
      <xdr:colOff>186895</xdr:colOff>
      <xdr:row>13</xdr:row>
      <xdr:rowOff>184424</xdr:rowOff>
    </xdr:from>
    <xdr:to>
      <xdr:col>14</xdr:col>
      <xdr:colOff>593110</xdr:colOff>
      <xdr:row>25</xdr:row>
      <xdr:rowOff>162701</xdr:rowOff>
    </xdr:to>
    <xdr:graphicFrame macro="">
      <xdr:nvGraphicFramePr>
        <xdr:cNvPr id="26" name="Chart 25">
          <a:extLst>
            <a:ext uri="{FF2B5EF4-FFF2-40B4-BE49-F238E27FC236}">
              <a16:creationId xmlns:a16="http://schemas.microsoft.com/office/drawing/2014/main" id="{74B816DA-6786-416C-91BA-FE2B4011F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267368</xdr:colOff>
      <xdr:row>25</xdr:row>
      <xdr:rowOff>143269</xdr:rowOff>
    </xdr:from>
    <xdr:to>
      <xdr:col>15</xdr:col>
      <xdr:colOff>9837</xdr:colOff>
      <xdr:row>37</xdr:row>
      <xdr:rowOff>4519</xdr:rowOff>
    </xdr:to>
    <xdr:graphicFrame macro="">
      <xdr:nvGraphicFramePr>
        <xdr:cNvPr id="31" name="Chart 30">
          <a:extLst>
            <a:ext uri="{FF2B5EF4-FFF2-40B4-BE49-F238E27FC236}">
              <a16:creationId xmlns:a16="http://schemas.microsoft.com/office/drawing/2014/main" id="{90AFB067-B7A0-4A47-9331-2677C1BE2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123052</xdr:colOff>
      <xdr:row>25</xdr:row>
      <xdr:rowOff>23238</xdr:rowOff>
    </xdr:from>
    <xdr:ext cx="1569427" cy="372189"/>
    <xdr:sp macro="" textlink="">
      <xdr:nvSpPr>
        <xdr:cNvPr id="34" name="TextBox 33">
          <a:extLst>
            <a:ext uri="{FF2B5EF4-FFF2-40B4-BE49-F238E27FC236}">
              <a16:creationId xmlns:a16="http://schemas.microsoft.com/office/drawing/2014/main" id="{613E6FFA-4DA9-4F72-BF7B-C88A1BA027DC}"/>
            </a:ext>
          </a:extLst>
        </xdr:cNvPr>
        <xdr:cNvSpPr txBox="1"/>
      </xdr:nvSpPr>
      <xdr:spPr>
        <a:xfrm>
          <a:off x="7659499" y="5036396"/>
          <a:ext cx="1569427" cy="372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i="1">
              <a:solidFill>
                <a:schemeClr val="tx1"/>
              </a:solidFill>
              <a:latin typeface="Segoe UI Semibold" panose="020B0702040204020203" pitchFamily="34" charset="0"/>
              <a:ea typeface="+mn-ea"/>
              <a:cs typeface="Segoe UI Semibold" panose="020B0702040204020203" pitchFamily="34" charset="0"/>
            </a:rPr>
            <a:t>FAT</a:t>
          </a:r>
          <a:r>
            <a:rPr lang="en-IN" sz="1200" b="1" i="1" baseline="0">
              <a:solidFill>
                <a:schemeClr val="tx1"/>
              </a:solidFill>
              <a:latin typeface="Segoe UI Semibold" panose="020B0702040204020203" pitchFamily="34" charset="0"/>
              <a:ea typeface="+mn-ea"/>
              <a:cs typeface="Segoe UI Semibold" panose="020B0702040204020203" pitchFamily="34" charset="0"/>
            </a:rPr>
            <a:t> BY OUTLET</a:t>
          </a:r>
          <a:endParaRPr lang="en-IN" sz="1200" b="1" i="1">
            <a:solidFill>
              <a:schemeClr val="tx1"/>
            </a:solidFill>
            <a:latin typeface="Segoe UI Semibold" panose="020B0702040204020203" pitchFamily="34" charset="0"/>
            <a:ea typeface="+mn-ea"/>
            <a:cs typeface="Segoe UI Semibold" panose="020B0702040204020203" pitchFamily="34" charset="0"/>
          </a:endParaRPr>
        </a:p>
      </xdr:txBody>
    </xdr:sp>
    <xdr:clientData/>
  </xdr:oneCellAnchor>
  <xdr:oneCellAnchor>
    <xdr:from>
      <xdr:col>6</xdr:col>
      <xdr:colOff>386353</xdr:colOff>
      <xdr:row>11</xdr:row>
      <xdr:rowOff>198125</xdr:rowOff>
    </xdr:from>
    <xdr:ext cx="1569427" cy="372189"/>
    <xdr:sp macro="" textlink="">
      <xdr:nvSpPr>
        <xdr:cNvPr id="37" name="TextBox 36">
          <a:extLst>
            <a:ext uri="{FF2B5EF4-FFF2-40B4-BE49-F238E27FC236}">
              <a16:creationId xmlns:a16="http://schemas.microsoft.com/office/drawing/2014/main" id="{5DE364FE-1AD6-4394-80DD-DFD590089921}"/>
            </a:ext>
          </a:extLst>
        </xdr:cNvPr>
        <xdr:cNvSpPr txBox="1"/>
      </xdr:nvSpPr>
      <xdr:spPr>
        <a:xfrm>
          <a:off x="5182274" y="2403914"/>
          <a:ext cx="1569427" cy="372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i="1">
              <a:solidFill>
                <a:schemeClr val="tx1"/>
              </a:solidFill>
              <a:latin typeface="Segoe UI Semibold" panose="020B0702040204020203" pitchFamily="34" charset="0"/>
              <a:ea typeface="+mn-ea"/>
              <a:cs typeface="Segoe UI Semibold" panose="020B0702040204020203" pitchFamily="34" charset="0"/>
            </a:rPr>
            <a:t>ITEM</a:t>
          </a:r>
          <a:r>
            <a:rPr lang="en-IN" sz="1200" b="1" i="1" baseline="0">
              <a:solidFill>
                <a:schemeClr val="tx1"/>
              </a:solidFill>
              <a:latin typeface="Segoe UI Semibold" panose="020B0702040204020203" pitchFamily="34" charset="0"/>
              <a:ea typeface="+mn-ea"/>
              <a:cs typeface="Segoe UI Semibold" panose="020B0702040204020203" pitchFamily="34" charset="0"/>
            </a:rPr>
            <a:t> TYPE</a:t>
          </a:r>
          <a:endParaRPr lang="en-IN" sz="1200" b="1" i="1">
            <a:solidFill>
              <a:schemeClr val="tx1"/>
            </a:solidFill>
            <a:latin typeface="Segoe UI Semibold" panose="020B0702040204020203" pitchFamily="34" charset="0"/>
            <a:ea typeface="+mn-ea"/>
            <a:cs typeface="Segoe UI Semibold" panose="020B0702040204020203" pitchFamily="34" charset="0"/>
          </a:endParaRPr>
        </a:p>
      </xdr:txBody>
    </xdr:sp>
    <xdr:clientData/>
  </xdr:oneCellAnchor>
  <xdr:twoCellAnchor>
    <xdr:from>
      <xdr:col>5</xdr:col>
      <xdr:colOff>156096</xdr:colOff>
      <xdr:row>13</xdr:row>
      <xdr:rowOff>132231</xdr:rowOff>
    </xdr:from>
    <xdr:to>
      <xdr:col>10</xdr:col>
      <xdr:colOff>179457</xdr:colOff>
      <xdr:row>37</xdr:row>
      <xdr:rowOff>35600</xdr:rowOff>
    </xdr:to>
    <xdr:graphicFrame macro="">
      <xdr:nvGraphicFramePr>
        <xdr:cNvPr id="39" name="Chart 38">
          <a:extLst>
            <a:ext uri="{FF2B5EF4-FFF2-40B4-BE49-F238E27FC236}">
              <a16:creationId xmlns:a16="http://schemas.microsoft.com/office/drawing/2014/main" id="{3F007D58-0C94-45A5-8548-1487CEDC6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455444</xdr:colOff>
      <xdr:row>11</xdr:row>
      <xdr:rowOff>182500</xdr:rowOff>
    </xdr:from>
    <xdr:to>
      <xdr:col>30</xdr:col>
      <xdr:colOff>555919</xdr:colOff>
      <xdr:row>24</xdr:row>
      <xdr:rowOff>3564</xdr:rowOff>
    </xdr:to>
    <xdr:graphicFrame macro="">
      <xdr:nvGraphicFramePr>
        <xdr:cNvPr id="44" name="Chart 43">
          <a:extLst>
            <a:ext uri="{FF2B5EF4-FFF2-40B4-BE49-F238E27FC236}">
              <a16:creationId xmlns:a16="http://schemas.microsoft.com/office/drawing/2014/main" id="{74904E11-DC25-4B4E-86FC-10A9F66A7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24</xdr:col>
      <xdr:colOff>654256</xdr:colOff>
      <xdr:row>12</xdr:row>
      <xdr:rowOff>4809</xdr:rowOff>
    </xdr:from>
    <xdr:ext cx="2093866" cy="372189"/>
    <xdr:sp macro="" textlink="">
      <xdr:nvSpPr>
        <xdr:cNvPr id="46" name="TextBox 45">
          <a:extLst>
            <a:ext uri="{FF2B5EF4-FFF2-40B4-BE49-F238E27FC236}">
              <a16:creationId xmlns:a16="http://schemas.microsoft.com/office/drawing/2014/main" id="{2787E277-8538-4D24-A566-5782B6E4554C}"/>
            </a:ext>
          </a:extLst>
        </xdr:cNvPr>
        <xdr:cNvSpPr txBox="1"/>
      </xdr:nvSpPr>
      <xdr:spPr>
        <a:xfrm>
          <a:off x="17782545" y="2411125"/>
          <a:ext cx="2093866" cy="372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i="1">
              <a:solidFill>
                <a:schemeClr val="tx1"/>
              </a:solidFill>
              <a:latin typeface="Segoe UI Semibold" panose="020B0702040204020203" pitchFamily="34" charset="0"/>
              <a:ea typeface="+mn-ea"/>
              <a:cs typeface="Segoe UI Semibold" panose="020B0702040204020203" pitchFamily="34" charset="0"/>
            </a:rPr>
            <a:t>OUTLET</a:t>
          </a:r>
          <a:r>
            <a:rPr lang="en-IN" sz="1200" b="1" i="1" baseline="0">
              <a:solidFill>
                <a:schemeClr val="tx1"/>
              </a:solidFill>
              <a:latin typeface="Segoe UI Semibold" panose="020B0702040204020203" pitchFamily="34" charset="0"/>
              <a:ea typeface="+mn-ea"/>
              <a:cs typeface="Segoe UI Semibold" panose="020B0702040204020203" pitchFamily="34" charset="0"/>
            </a:rPr>
            <a:t> ESTABLISHMENT</a:t>
          </a:r>
          <a:endParaRPr lang="en-IN" sz="1200" b="1" i="1">
            <a:solidFill>
              <a:schemeClr val="tx1"/>
            </a:solidFill>
            <a:latin typeface="Segoe UI Semibold" panose="020B0702040204020203" pitchFamily="34" charset="0"/>
            <a:ea typeface="+mn-ea"/>
            <a:cs typeface="Segoe UI Semibold" panose="020B0702040204020203" pitchFamily="34" charset="0"/>
          </a:endParaRPr>
        </a:p>
      </xdr:txBody>
    </xdr:sp>
    <xdr:clientData/>
  </xdr:oneCellAnchor>
  <xdr:twoCellAnchor>
    <xdr:from>
      <xdr:col>15</xdr:col>
      <xdr:colOff>451184</xdr:colOff>
      <xdr:row>12</xdr:row>
      <xdr:rowOff>70640</xdr:rowOff>
    </xdr:from>
    <xdr:to>
      <xdr:col>21</xdr:col>
      <xdr:colOff>393457</xdr:colOff>
      <xdr:row>37</xdr:row>
      <xdr:rowOff>97985</xdr:rowOff>
    </xdr:to>
    <xdr:sp macro="" textlink="">
      <xdr:nvSpPr>
        <xdr:cNvPr id="48" name="Rectangle: Rounded Corners 47">
          <a:extLst>
            <a:ext uri="{FF2B5EF4-FFF2-40B4-BE49-F238E27FC236}">
              <a16:creationId xmlns:a16="http://schemas.microsoft.com/office/drawing/2014/main" id="{E7A2D667-B874-48C7-AE69-C83C42D4AE5D}"/>
            </a:ext>
          </a:extLst>
        </xdr:cNvPr>
        <xdr:cNvSpPr/>
      </xdr:nvSpPr>
      <xdr:spPr>
        <a:xfrm>
          <a:off x="11413289" y="2476956"/>
          <a:ext cx="4053063" cy="5040503"/>
        </a:xfrm>
        <a:prstGeom prst="roundRect">
          <a:avLst>
            <a:gd name="adj" fmla="val 5929"/>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511948</xdr:colOff>
      <xdr:row>25</xdr:row>
      <xdr:rowOff>123800</xdr:rowOff>
    </xdr:from>
    <xdr:to>
      <xdr:col>20</xdr:col>
      <xdr:colOff>501785</xdr:colOff>
      <xdr:row>36</xdr:row>
      <xdr:rowOff>96620</xdr:rowOff>
    </xdr:to>
    <xdr:graphicFrame macro="">
      <xdr:nvGraphicFramePr>
        <xdr:cNvPr id="49" name="Chart 48">
          <a:extLst>
            <a:ext uri="{FF2B5EF4-FFF2-40B4-BE49-F238E27FC236}">
              <a16:creationId xmlns:a16="http://schemas.microsoft.com/office/drawing/2014/main" id="{9239A594-E251-4E6B-AA12-FFE75DC0B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370176</xdr:colOff>
      <xdr:row>23</xdr:row>
      <xdr:rowOff>118746</xdr:rowOff>
    </xdr:from>
    <xdr:ext cx="1569427" cy="372189"/>
    <xdr:sp macro="" textlink="">
      <xdr:nvSpPr>
        <xdr:cNvPr id="51" name="TextBox 50">
          <a:extLst>
            <a:ext uri="{FF2B5EF4-FFF2-40B4-BE49-F238E27FC236}">
              <a16:creationId xmlns:a16="http://schemas.microsoft.com/office/drawing/2014/main" id="{96855B4B-A393-4150-AC7F-42875B02C42C}"/>
            </a:ext>
          </a:extLst>
        </xdr:cNvPr>
        <xdr:cNvSpPr txBox="1"/>
      </xdr:nvSpPr>
      <xdr:spPr>
        <a:xfrm>
          <a:off x="12702544" y="4730851"/>
          <a:ext cx="1569427" cy="372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i="1" baseline="0">
              <a:solidFill>
                <a:schemeClr val="tx1"/>
              </a:solidFill>
              <a:latin typeface="Segoe UI Semibold" panose="020B0702040204020203" pitchFamily="34" charset="0"/>
              <a:ea typeface="+mn-ea"/>
              <a:cs typeface="Segoe UI Semibold" panose="020B0702040204020203" pitchFamily="34" charset="0"/>
            </a:rPr>
            <a:t>OUTLET SIZE</a:t>
          </a:r>
          <a:endParaRPr lang="en-IN" sz="1200" b="1" i="1">
            <a:solidFill>
              <a:schemeClr val="tx1"/>
            </a:solidFill>
            <a:latin typeface="Segoe UI Semibold" panose="020B0702040204020203" pitchFamily="34" charset="0"/>
            <a:ea typeface="+mn-ea"/>
            <a:cs typeface="Segoe UI Semibold" panose="020B0702040204020203" pitchFamily="34" charset="0"/>
          </a:endParaRPr>
        </a:p>
      </xdr:txBody>
    </xdr:sp>
    <xdr:clientData/>
  </xdr:oneCellAnchor>
  <xdr:twoCellAnchor>
    <xdr:from>
      <xdr:col>16</xdr:col>
      <xdr:colOff>217235</xdr:colOff>
      <xdr:row>13</xdr:row>
      <xdr:rowOff>183815</xdr:rowOff>
    </xdr:from>
    <xdr:to>
      <xdr:col>21</xdr:col>
      <xdr:colOff>44055</xdr:colOff>
      <xdr:row>22</xdr:row>
      <xdr:rowOff>69882</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7EF0E3EE-CD0A-4302-8AEE-7BFE9C4287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190035" y="2784140"/>
              <a:ext cx="3255820" cy="16862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17</xdr:col>
      <xdr:colOff>426320</xdr:colOff>
      <xdr:row>12</xdr:row>
      <xdr:rowOff>19350</xdr:rowOff>
    </xdr:from>
    <xdr:ext cx="1653382" cy="372189"/>
    <xdr:sp macro="" textlink="">
      <xdr:nvSpPr>
        <xdr:cNvPr id="53" name="TextBox 52">
          <a:extLst>
            <a:ext uri="{FF2B5EF4-FFF2-40B4-BE49-F238E27FC236}">
              <a16:creationId xmlns:a16="http://schemas.microsoft.com/office/drawing/2014/main" id="{08342AA2-3E0A-4DDF-B5E9-AEC5B3E7EFC2}"/>
            </a:ext>
          </a:extLst>
        </xdr:cNvPr>
        <xdr:cNvSpPr txBox="1"/>
      </xdr:nvSpPr>
      <xdr:spPr>
        <a:xfrm>
          <a:off x="12758688" y="2425666"/>
          <a:ext cx="1653382" cy="372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i="1">
              <a:solidFill>
                <a:schemeClr val="tx1"/>
              </a:solidFill>
              <a:latin typeface="Segoe UI Semibold" panose="020B0702040204020203" pitchFamily="34" charset="0"/>
              <a:ea typeface="+mn-ea"/>
              <a:cs typeface="Segoe UI Semibold" panose="020B0702040204020203" pitchFamily="34" charset="0"/>
            </a:rPr>
            <a:t>OUTLET</a:t>
          </a:r>
          <a:r>
            <a:rPr lang="en-IN" sz="1200" b="1" i="1" baseline="0">
              <a:solidFill>
                <a:schemeClr val="tx1"/>
              </a:solidFill>
              <a:latin typeface="Segoe UI Semibold" panose="020B0702040204020203" pitchFamily="34" charset="0"/>
              <a:ea typeface="+mn-ea"/>
              <a:cs typeface="Segoe UI Semibold" panose="020B0702040204020203" pitchFamily="34" charset="0"/>
            </a:rPr>
            <a:t> LOCATION</a:t>
          </a:r>
          <a:endParaRPr lang="en-IN" sz="1200" b="1" i="1">
            <a:solidFill>
              <a:schemeClr val="tx1"/>
            </a:solidFill>
            <a:latin typeface="Segoe UI Semibold" panose="020B0702040204020203" pitchFamily="34" charset="0"/>
            <a:ea typeface="+mn-ea"/>
            <a:cs typeface="Segoe UI Semibold" panose="020B0702040204020203" pitchFamily="34" charset="0"/>
          </a:endParaRPr>
        </a:p>
      </xdr:txBody>
    </xdr:sp>
    <xdr:clientData/>
  </xdr:oneCellAnchor>
  <xdr:twoCellAnchor>
    <xdr:from>
      <xdr:col>23</xdr:col>
      <xdr:colOff>315715</xdr:colOff>
      <xdr:row>25</xdr:row>
      <xdr:rowOff>197467</xdr:rowOff>
    </xdr:from>
    <xdr:to>
      <xdr:col>29</xdr:col>
      <xdr:colOff>419176</xdr:colOff>
      <xdr:row>35</xdr:row>
      <xdr:rowOff>140553</xdr:rowOff>
    </xdr:to>
    <xdr:graphicFrame macro="">
      <xdr:nvGraphicFramePr>
        <xdr:cNvPr id="54" name="Chart 53">
          <a:extLst>
            <a:ext uri="{FF2B5EF4-FFF2-40B4-BE49-F238E27FC236}">
              <a16:creationId xmlns:a16="http://schemas.microsoft.com/office/drawing/2014/main" id="{7352A485-8FBD-4F52-8286-828151084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25</xdr:col>
      <xdr:colOff>81960</xdr:colOff>
      <xdr:row>24</xdr:row>
      <xdr:rowOff>82120</xdr:rowOff>
    </xdr:from>
    <xdr:ext cx="1653382" cy="372189"/>
    <xdr:sp macro="" textlink="">
      <xdr:nvSpPr>
        <xdr:cNvPr id="55" name="TextBox 54">
          <a:extLst>
            <a:ext uri="{FF2B5EF4-FFF2-40B4-BE49-F238E27FC236}">
              <a16:creationId xmlns:a16="http://schemas.microsoft.com/office/drawing/2014/main" id="{088226BA-8742-4D43-9C01-C32B2C809F2D}"/>
            </a:ext>
          </a:extLst>
        </xdr:cNvPr>
        <xdr:cNvSpPr txBox="1"/>
      </xdr:nvSpPr>
      <xdr:spPr>
        <a:xfrm>
          <a:off x="17895381" y="4894752"/>
          <a:ext cx="1653382" cy="372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i="1">
              <a:solidFill>
                <a:schemeClr val="tx1"/>
              </a:solidFill>
              <a:latin typeface="Segoe UI Semibold" panose="020B0702040204020203" pitchFamily="34" charset="0"/>
              <a:ea typeface="+mn-ea"/>
              <a:cs typeface="Segoe UI Semibold" panose="020B0702040204020203" pitchFamily="34" charset="0"/>
            </a:rPr>
            <a:t>OUTLET</a:t>
          </a:r>
          <a:r>
            <a:rPr lang="en-IN" sz="1200" b="1" i="1" baseline="0">
              <a:solidFill>
                <a:schemeClr val="tx1"/>
              </a:solidFill>
              <a:latin typeface="Segoe UI Semibold" panose="020B0702040204020203" pitchFamily="34" charset="0"/>
              <a:ea typeface="+mn-ea"/>
              <a:cs typeface="Segoe UI Semibold" panose="020B0702040204020203" pitchFamily="34" charset="0"/>
            </a:rPr>
            <a:t> TYPE</a:t>
          </a:r>
          <a:endParaRPr lang="en-IN" sz="1200" b="1" i="1">
            <a:solidFill>
              <a:schemeClr val="tx1"/>
            </a:solidFill>
            <a:latin typeface="Segoe UI Semibold" panose="020B0702040204020203" pitchFamily="34" charset="0"/>
            <a:ea typeface="+mn-ea"/>
            <a:cs typeface="Segoe UI Semibold" panose="020B0702040204020203" pitchFamily="34" charset="0"/>
          </a:endParaRPr>
        </a:p>
      </xdr:txBody>
    </xdr:sp>
    <xdr:clientData/>
  </xdr:oneCellAnchor>
  <xdr:oneCellAnchor>
    <xdr:from>
      <xdr:col>25</xdr:col>
      <xdr:colOff>103320</xdr:colOff>
      <xdr:row>34</xdr:row>
      <xdr:rowOff>171476</xdr:rowOff>
    </xdr:from>
    <xdr:ext cx="1653382" cy="372189"/>
    <xdr:sp macro="" textlink="">
      <xdr:nvSpPr>
        <xdr:cNvPr id="57" name="TextBox 56">
          <a:extLst>
            <a:ext uri="{FF2B5EF4-FFF2-40B4-BE49-F238E27FC236}">
              <a16:creationId xmlns:a16="http://schemas.microsoft.com/office/drawing/2014/main" id="{D694E4DD-27F4-4E7D-868A-8C46EE7849CC}"/>
            </a:ext>
          </a:extLst>
        </xdr:cNvPr>
        <xdr:cNvSpPr txBox="1"/>
      </xdr:nvSpPr>
      <xdr:spPr>
        <a:xfrm>
          <a:off x="17916741" y="6989371"/>
          <a:ext cx="1653382" cy="37218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i="1">
              <a:solidFill>
                <a:schemeClr val="tx1"/>
              </a:solidFill>
              <a:latin typeface="Segoe UI Semibold" panose="020B0702040204020203" pitchFamily="34" charset="0"/>
              <a:ea typeface="+mn-ea"/>
              <a:cs typeface="Segoe UI Semibold" panose="020B0702040204020203" pitchFamily="34" charset="0"/>
            </a:rPr>
            <a:t>Total</a:t>
          </a:r>
          <a:r>
            <a:rPr lang="en-IN" sz="1100" b="1" i="1" baseline="0">
              <a:solidFill>
                <a:schemeClr val="tx1"/>
              </a:solidFill>
              <a:latin typeface="Segoe UI Semibold" panose="020B0702040204020203" pitchFamily="34" charset="0"/>
              <a:ea typeface="+mn-ea"/>
              <a:cs typeface="Segoe UI Semibold" panose="020B0702040204020203" pitchFamily="34" charset="0"/>
            </a:rPr>
            <a:t> Sales</a:t>
          </a:r>
          <a:endParaRPr lang="en-IN" sz="1100" b="1" i="1">
            <a:solidFill>
              <a:schemeClr val="tx1"/>
            </a:solidFill>
            <a:latin typeface="Segoe UI Semibold" panose="020B0702040204020203" pitchFamily="34" charset="0"/>
            <a:ea typeface="+mn-ea"/>
            <a:cs typeface="Segoe UI Semibold" panose="020B0702040204020203" pitchFamily="34" charset="0"/>
          </a:endParaRPr>
        </a:p>
      </xdr:txBody>
    </xdr:sp>
    <xdr:clientData/>
  </xdr:oneCellAnchor>
  <xdr:twoCellAnchor editAs="oneCell">
    <xdr:from>
      <xdr:col>0</xdr:col>
      <xdr:colOff>538534</xdr:colOff>
      <xdr:row>21</xdr:row>
      <xdr:rowOff>44054</xdr:rowOff>
    </xdr:from>
    <xdr:to>
      <xdr:col>4</xdr:col>
      <xdr:colOff>379784</xdr:colOff>
      <xdr:row>28</xdr:row>
      <xdr:rowOff>72917</xdr:rowOff>
    </xdr:to>
    <mc:AlternateContent xmlns:mc="http://schemas.openxmlformats.org/markup-compatibility/2006" xmlns:a14="http://schemas.microsoft.com/office/drawing/2010/main">
      <mc:Choice Requires="a14">
        <xdr:graphicFrame macro="">
          <xdr:nvGraphicFramePr>
            <xdr:cNvPr id="62" name="Outlet Location Type 1">
              <a:extLst>
                <a:ext uri="{FF2B5EF4-FFF2-40B4-BE49-F238E27FC236}">
                  <a16:creationId xmlns:a16="http://schemas.microsoft.com/office/drawing/2014/main" id="{384B2155-EBA2-43C7-BC86-A122493BA15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38534" y="4255107"/>
              <a:ext cx="2581776" cy="1432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559802</xdr:colOff>
      <xdr:row>28</xdr:row>
      <xdr:rowOff>151153</xdr:rowOff>
    </xdr:from>
    <xdr:to>
      <xdr:col>4</xdr:col>
      <xdr:colOff>386620</xdr:colOff>
      <xdr:row>37</xdr:row>
      <xdr:rowOff>100264</xdr:rowOff>
    </xdr:to>
    <mc:AlternateContent xmlns:mc="http://schemas.openxmlformats.org/markup-compatibility/2006" xmlns:a14="http://schemas.microsoft.com/office/drawing/2010/main">
      <mc:Choice Requires="a14">
        <xdr:graphicFrame macro="">
          <xdr:nvGraphicFramePr>
            <xdr:cNvPr id="63" name="Item Type 1">
              <a:extLst>
                <a:ext uri="{FF2B5EF4-FFF2-40B4-BE49-F238E27FC236}">
                  <a16:creationId xmlns:a16="http://schemas.microsoft.com/office/drawing/2014/main" id="{E630C8B6-4ED1-43CD-8CF8-0741CF77931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59802" y="5765890"/>
              <a:ext cx="2567344" cy="1753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242502</xdr:colOff>
      <xdr:row>11</xdr:row>
      <xdr:rowOff>126451</xdr:rowOff>
    </xdr:from>
    <xdr:ext cx="1638952" cy="577671"/>
    <xdr:sp macro="" textlink="">
      <xdr:nvSpPr>
        <xdr:cNvPr id="64" name="TextBox 63">
          <a:extLst>
            <a:ext uri="{FF2B5EF4-FFF2-40B4-BE49-F238E27FC236}">
              <a16:creationId xmlns:a16="http://schemas.microsoft.com/office/drawing/2014/main" id="{E54605F0-00A5-4C31-A102-57A8AE34711F}"/>
            </a:ext>
          </a:extLst>
        </xdr:cNvPr>
        <xdr:cNvSpPr txBox="1"/>
      </xdr:nvSpPr>
      <xdr:spPr>
        <a:xfrm>
          <a:off x="1612765" y="2332240"/>
          <a:ext cx="1638952" cy="57767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i="0">
              <a:solidFill>
                <a:schemeClr val="tx1"/>
              </a:solidFill>
              <a:latin typeface="Segoe UI Semibold" panose="020B0702040204020203" pitchFamily="34" charset="0"/>
              <a:ea typeface="+mn-ea"/>
              <a:cs typeface="Segoe UI Semibold" panose="020B0702040204020203" pitchFamily="34" charset="0"/>
            </a:rPr>
            <a:t>FILTER</a:t>
          </a:r>
          <a:r>
            <a:rPr lang="en-IN" sz="1600" b="1" i="1" baseline="0">
              <a:solidFill>
                <a:schemeClr val="tx1"/>
              </a:solidFill>
              <a:latin typeface="Segoe UI Semibold" panose="020B0702040204020203" pitchFamily="34" charset="0"/>
              <a:ea typeface="+mn-ea"/>
              <a:cs typeface="Segoe UI Semibold" panose="020B0702040204020203" pitchFamily="34" charset="0"/>
            </a:rPr>
            <a:t> </a:t>
          </a:r>
          <a:r>
            <a:rPr lang="en-IN" sz="1600" b="1" i="0" baseline="0">
              <a:solidFill>
                <a:schemeClr val="tx1"/>
              </a:solidFill>
              <a:latin typeface="Segoe UI Semibold" panose="020B0702040204020203" pitchFamily="34" charset="0"/>
              <a:ea typeface="+mn-ea"/>
              <a:cs typeface="Segoe UI Semibold" panose="020B0702040204020203" pitchFamily="34" charset="0"/>
            </a:rPr>
            <a:t>PANEL</a:t>
          </a:r>
          <a:endParaRPr lang="en-IN" sz="1600" b="1" i="0">
            <a:solidFill>
              <a:schemeClr val="tx1"/>
            </a:solidFill>
            <a:latin typeface="Segoe UI Semibold" panose="020B0702040204020203" pitchFamily="34" charset="0"/>
            <a:ea typeface="+mn-ea"/>
            <a:cs typeface="Segoe UI Semibold" panose="020B0702040204020203"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ITHA" refreshedDate="45738.599800462966" createdVersion="8" refreshedVersion="8" minRefreshableVersion="3" recordCount="8523" xr:uid="{608D8740-4580-4A32-AB7E-11A173EBB6B8}">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76028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78ECFD-5F24-4EE0-8FCE-347A61251603}" name="PivotTable15"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0">
  <location ref="A80:B83"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0">
    <format dxfId="615">
      <pivotArea type="all" dataOnly="0" outline="0" fieldPosition="0"/>
    </format>
    <format dxfId="614">
      <pivotArea outline="0" collapsedLevelsAreSubtotals="1" fieldPosition="0"/>
    </format>
    <format dxfId="613">
      <pivotArea field="0" type="button" dataOnly="0" labelOnly="1" outline="0"/>
    </format>
    <format dxfId="612">
      <pivotArea dataOnly="0" labelOnly="1" grandRow="1" outline="0" fieldPosition="0"/>
    </format>
    <format dxfId="611">
      <pivotArea outline="0" collapsedLevelsAreSubtotals="1" fieldPosition="0"/>
    </format>
    <format dxfId="610">
      <pivotArea type="all" dataOnly="0" outline="0" fieldPosition="0"/>
    </format>
    <format dxfId="609">
      <pivotArea outline="0" collapsedLevelsAreSubtotals="1" fieldPosition="0"/>
    </format>
    <format dxfId="608">
      <pivotArea field="6" type="button" dataOnly="0" labelOnly="1" outline="0" axis="axisRow" fieldPosition="0"/>
    </format>
    <format dxfId="607">
      <pivotArea dataOnly="0" labelOnly="1" fieldPosition="0">
        <references count="1">
          <reference field="6" count="0"/>
        </references>
      </pivotArea>
    </format>
    <format dxfId="606">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6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FCDE71-4719-4D33-8DAA-3F7525B28B5D}" name="PivotTable14"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0">
  <location ref="A68:B71"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0">
    <format dxfId="625">
      <pivotArea type="all" dataOnly="0" outline="0" fieldPosition="0"/>
    </format>
    <format dxfId="624">
      <pivotArea outline="0" collapsedLevelsAreSubtotals="1" fieldPosition="0"/>
    </format>
    <format dxfId="623">
      <pivotArea field="0" type="button" dataOnly="0" labelOnly="1" outline="0"/>
    </format>
    <format dxfId="622">
      <pivotArea dataOnly="0" labelOnly="1" grandRow="1" outline="0" fieldPosition="0"/>
    </format>
    <format dxfId="621">
      <pivotArea outline="0" collapsedLevelsAreSubtotals="1" fieldPosition="0"/>
    </format>
    <format dxfId="620">
      <pivotArea type="all" dataOnly="0" outline="0" fieldPosition="0"/>
    </format>
    <format dxfId="619">
      <pivotArea outline="0" collapsedLevelsAreSubtotals="1" fieldPosition="0"/>
    </format>
    <format dxfId="618">
      <pivotArea field="7" type="button" dataOnly="0" labelOnly="1" outline="0" axis="axisRow" fieldPosition="0"/>
    </format>
    <format dxfId="617">
      <pivotArea dataOnly="0" labelOnly="1" fieldPosition="0">
        <references count="1">
          <reference field="7" count="0"/>
        </references>
      </pivotArea>
    </format>
    <format dxfId="616">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67" format="5" series="1">
      <pivotArea type="data" outline="0" fieldPosition="0">
        <references count="1">
          <reference field="4294967294" count="1" selected="0">
            <x v="0"/>
          </reference>
        </references>
      </pivotArea>
    </chartFormat>
    <chartFormat chart="67" format="6">
      <pivotArea type="data" outline="0" fieldPosition="0">
        <references count="2">
          <reference field="4294967294" count="1" selected="0">
            <x v="0"/>
          </reference>
          <reference field="7" count="1" selected="0">
            <x v="0"/>
          </reference>
        </references>
      </pivotArea>
    </chartFormat>
    <chartFormat chart="67" format="7">
      <pivotArea type="data" outline="0" fieldPosition="0">
        <references count="2">
          <reference field="4294967294" count="1" selected="0">
            <x v="0"/>
          </reference>
          <reference field="7" count="1" selected="0">
            <x v="1"/>
          </reference>
        </references>
      </pivotArea>
    </chartFormat>
    <chartFormat chart="67" format="8">
      <pivotArea type="data" outline="0" fieldPosition="0">
        <references count="2">
          <reference field="4294967294" count="1" selected="0">
            <x v="0"/>
          </reference>
          <reference field="7" count="1" selected="0">
            <x v="2"/>
          </reference>
        </references>
      </pivotArea>
    </chartFormat>
    <chartFormat chart="55" format="1">
      <pivotArea type="data" outline="0" fieldPosition="0">
        <references count="2">
          <reference field="4294967294" count="1" selected="0">
            <x v="0"/>
          </reference>
          <reference field="7" count="1" selected="0">
            <x v="0"/>
          </reference>
        </references>
      </pivotArea>
    </chartFormat>
    <chartFormat chart="55" format="2">
      <pivotArea type="data" outline="0" fieldPosition="0">
        <references count="2">
          <reference field="4294967294" count="1" selected="0">
            <x v="0"/>
          </reference>
          <reference field="7" count="1" selected="0">
            <x v="1"/>
          </reference>
        </references>
      </pivotArea>
    </chartFormat>
    <chartFormat chart="55" format="3">
      <pivotArea type="data" outline="0" fieldPosition="0">
        <references count="2">
          <reference field="4294967294" count="1" selected="0">
            <x v="0"/>
          </reference>
          <reference field="7" count="1" selected="0">
            <x v="2"/>
          </reference>
        </references>
      </pivotArea>
    </chartFormat>
    <chartFormat chart="55" format="4">
      <pivotArea type="data" outline="0" fieldPosition="0">
        <references count="1">
          <reference field="4294967294" count="1" selected="0">
            <x v="0"/>
          </reference>
        </references>
      </pivotArea>
    </chartFormat>
    <chartFormat chart="67"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E9D445-1930-4600-A4AD-575452F3F886}" name="PivotTable13"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6">
  <location ref="A55:B64"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0">
    <format dxfId="635">
      <pivotArea type="all" dataOnly="0" outline="0" fieldPosition="0"/>
    </format>
    <format dxfId="634">
      <pivotArea outline="0" collapsedLevelsAreSubtotals="1" fieldPosition="0"/>
    </format>
    <format dxfId="633">
      <pivotArea field="0" type="button" dataOnly="0" labelOnly="1" outline="0"/>
    </format>
    <format dxfId="632">
      <pivotArea dataOnly="0" labelOnly="1" grandRow="1" outline="0" fieldPosition="0"/>
    </format>
    <format dxfId="631">
      <pivotArea outline="0" collapsedLevelsAreSubtotals="1" fieldPosition="0"/>
    </format>
    <format dxfId="630">
      <pivotArea type="all" dataOnly="0" outline="0" fieldPosition="0"/>
    </format>
    <format dxfId="629">
      <pivotArea outline="0" collapsedLevelsAreSubtotals="1" fieldPosition="0"/>
    </format>
    <format dxfId="628">
      <pivotArea field="4" type="button" dataOnly="0" labelOnly="1" outline="0" axis="axisRow" fieldPosition="0"/>
    </format>
    <format dxfId="627">
      <pivotArea dataOnly="0" labelOnly="1" fieldPosition="0">
        <references count="1">
          <reference field="4" count="0"/>
        </references>
      </pivotArea>
    </format>
    <format dxfId="626">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1" format="4">
      <pivotArea type="data" outline="0" fieldPosition="0">
        <references count="2">
          <reference field="4294967294" count="1" selected="0">
            <x v="0"/>
          </reference>
          <reference field="4" count="1" selected="0">
            <x v="0"/>
          </reference>
        </references>
      </pivotArea>
    </chartFormat>
    <chartFormat chart="41" format="5">
      <pivotArea type="data" outline="0" fieldPosition="0">
        <references count="2">
          <reference field="4294967294" count="1" selected="0">
            <x v="0"/>
          </reference>
          <reference field="4" count="1" selected="0">
            <x v="1"/>
          </reference>
        </references>
      </pivotArea>
    </chartFormat>
    <chartFormat chart="41" format="6">
      <pivotArea type="data" outline="0" fieldPosition="0">
        <references count="2">
          <reference field="4294967294" count="1" selected="0">
            <x v="0"/>
          </reference>
          <reference field="4" count="1" selected="0">
            <x v="2"/>
          </reference>
        </references>
      </pivotArea>
    </chartFormat>
    <chartFormat chart="41" format="7">
      <pivotArea type="data" outline="0" fieldPosition="0">
        <references count="2">
          <reference field="4294967294" count="1" selected="0">
            <x v="0"/>
          </reference>
          <reference field="4" count="1" selected="0">
            <x v="3"/>
          </reference>
        </references>
      </pivotArea>
    </chartFormat>
    <chartFormat chart="41" format="8">
      <pivotArea type="data" outline="0" fieldPosition="0">
        <references count="2">
          <reference field="4294967294" count="1" selected="0">
            <x v="0"/>
          </reference>
          <reference field="4" count="1" selected="0">
            <x v="4"/>
          </reference>
        </references>
      </pivotArea>
    </chartFormat>
    <chartFormat chart="41" format="9">
      <pivotArea type="data" outline="0" fieldPosition="0">
        <references count="2">
          <reference field="4294967294" count="1" selected="0">
            <x v="0"/>
          </reference>
          <reference field="4" count="1" selected="0">
            <x v="5"/>
          </reference>
        </references>
      </pivotArea>
    </chartFormat>
    <chartFormat chart="41" format="10">
      <pivotArea type="data" outline="0" fieldPosition="0">
        <references count="2">
          <reference field="4294967294" count="1" selected="0">
            <x v="0"/>
          </reference>
          <reference field="4" count="1" selected="0">
            <x v="6"/>
          </reference>
        </references>
      </pivotArea>
    </chartFormat>
    <chartFormat chart="41" format="11">
      <pivotArea type="data" outline="0" fieldPosition="0">
        <references count="2">
          <reference field="4294967294" count="1" selected="0">
            <x v="0"/>
          </reference>
          <reference field="4" count="1" selected="0">
            <x v="7"/>
          </reference>
        </references>
      </pivotArea>
    </chartFormat>
    <chartFormat chart="41" format="12">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E65DC0-0789-4CE7-A35F-4570913F69E3}" name="PivotTable10"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24:C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3">
    <format dxfId="648">
      <pivotArea type="all" dataOnly="0" outline="0" fieldPosition="0"/>
    </format>
    <format dxfId="647">
      <pivotArea outline="0" collapsedLevelsAreSubtotals="1" fieldPosition="0"/>
    </format>
    <format dxfId="646">
      <pivotArea dataOnly="0" labelOnly="1" grandRow="1" outline="0" fieldPosition="0"/>
    </format>
    <format dxfId="645">
      <pivotArea dataOnly="0" labelOnly="1" outline="0" axis="axisValues" fieldPosition="0"/>
    </format>
    <format dxfId="644">
      <pivotArea outline="0" collapsedLevelsAreSubtotals="1" fieldPosition="0"/>
    </format>
    <format dxfId="643">
      <pivotArea type="all" dataOnly="0" outline="0" fieldPosition="0"/>
    </format>
    <format dxfId="642">
      <pivotArea outline="0" collapsedLevelsAreSubtotals="1" fieldPosition="0"/>
    </format>
    <format dxfId="641">
      <pivotArea type="origin" dataOnly="0" labelOnly="1" outline="0" fieldPosition="0"/>
    </format>
    <format dxfId="640">
      <pivotArea field="0" type="button" dataOnly="0" labelOnly="1" outline="0" axis="axisCol" fieldPosition="0"/>
    </format>
    <format dxfId="639">
      <pivotArea type="topRight" dataOnly="0" labelOnly="1" outline="0" fieldPosition="0"/>
    </format>
    <format dxfId="638">
      <pivotArea field="6" type="button" dataOnly="0" labelOnly="1" outline="0" axis="axisRow" fieldPosition="0"/>
    </format>
    <format dxfId="637">
      <pivotArea dataOnly="0" labelOnly="1" fieldPosition="0">
        <references count="1">
          <reference field="6" count="0"/>
        </references>
      </pivotArea>
    </format>
    <format dxfId="636">
      <pivotArea dataOnly="0" labelOnly="1" fieldPosition="0">
        <references count="1">
          <reference field="0" count="0"/>
        </references>
      </pivotArea>
    </format>
  </formats>
  <chartFormats count="1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8" format="0"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 chart="15"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7">
      <pivotArea type="data" outline="0" fieldPosition="0">
        <references count="3">
          <reference field="4294967294" count="1" selected="0">
            <x v="0"/>
          </reference>
          <reference field="0" count="1" selected="0">
            <x v="1"/>
          </reference>
          <reference field="6" count="1" selected="0">
            <x v="1"/>
          </reference>
        </references>
      </pivotArea>
    </chartFormat>
    <chartFormat chart="15" format="8">
      <pivotArea type="data" outline="0" fieldPosition="0">
        <references count="3">
          <reference field="4294967294" count="1" selected="0">
            <x v="0"/>
          </reference>
          <reference field="0" count="1" selected="0">
            <x v="0"/>
          </reference>
          <reference field="6" count="1" selected="0">
            <x v="2"/>
          </reference>
        </references>
      </pivotArea>
    </chartFormat>
    <chartFormat chart="15" format="9">
      <pivotArea type="data" outline="0" fieldPosition="0">
        <references count="3">
          <reference field="4294967294" count="1" selected="0">
            <x v="0"/>
          </reference>
          <reference field="0" count="1" selected="0">
            <x v="1"/>
          </reference>
          <reference field="6" count="1" selected="0">
            <x v="2"/>
          </reference>
        </references>
      </pivotArea>
    </chartFormat>
    <chartFormat chart="15" format="10">
      <pivotArea type="data" outline="0" fieldPosition="0">
        <references count="3">
          <reference field="4294967294" count="1" selected="0">
            <x v="0"/>
          </reference>
          <reference field="0" count="1" selected="0">
            <x v="0"/>
          </reference>
          <reference field="6" count="1" selected="0">
            <x v="1"/>
          </reference>
        </references>
      </pivotArea>
    </chartFormat>
    <chartFormat chart="15" format="11">
      <pivotArea type="data" outline="0" fieldPosition="0">
        <references count="3">
          <reference field="4294967294" count="1" selected="0">
            <x v="0"/>
          </reference>
          <reference field="0" count="1" selected="0">
            <x v="1"/>
          </reference>
          <reference field="6" count="1" selected="0">
            <x v="0"/>
          </reference>
        </references>
      </pivotArea>
    </chartFormat>
    <chartFormat chart="15" format="12">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B376DB-D429-40E0-967D-17B73ECCD240}" name="PivotTable11"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0">
  <location ref="A35:B51"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0">
    <format dxfId="658">
      <pivotArea type="all" dataOnly="0" outline="0" fieldPosition="0"/>
    </format>
    <format dxfId="657">
      <pivotArea outline="0" collapsedLevelsAreSubtotals="1" fieldPosition="0"/>
    </format>
    <format dxfId="656">
      <pivotArea field="0" type="button" dataOnly="0" labelOnly="1" outline="0"/>
    </format>
    <format dxfId="655">
      <pivotArea dataOnly="0" labelOnly="1" grandRow="1" outline="0" fieldPosition="0"/>
    </format>
    <format dxfId="654">
      <pivotArea outline="0" collapsedLevelsAreSubtotals="1" fieldPosition="0"/>
    </format>
    <format dxfId="653">
      <pivotArea type="all" dataOnly="0" outline="0" fieldPosition="0"/>
    </format>
    <format dxfId="652">
      <pivotArea outline="0" collapsedLevelsAreSubtotals="1" fieldPosition="0"/>
    </format>
    <format dxfId="651">
      <pivotArea field="3" type="button" dataOnly="0" labelOnly="1" outline="0" axis="axisRow" fieldPosition="0"/>
    </format>
    <format dxfId="650">
      <pivotArea dataOnly="0" labelOnly="1" fieldPosition="0">
        <references count="1">
          <reference field="3" count="0"/>
        </references>
      </pivotArea>
    </format>
    <format dxfId="64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AE43C7-04A8-459A-9982-8EDD26ED531B}" name="PivotTable16"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1">
  <location ref="A89:B93"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0">
    <format dxfId="668">
      <pivotArea type="all" dataOnly="0" outline="0" fieldPosition="0"/>
    </format>
    <format dxfId="667">
      <pivotArea outline="0" collapsedLevelsAreSubtotals="1" fieldPosition="0"/>
    </format>
    <format dxfId="666">
      <pivotArea field="0" type="button" dataOnly="0" labelOnly="1" outline="0"/>
    </format>
    <format dxfId="665">
      <pivotArea dataOnly="0" labelOnly="1" grandRow="1" outline="0" fieldPosition="0"/>
    </format>
    <format dxfId="664">
      <pivotArea outline="0" collapsedLevelsAreSubtotals="1" fieldPosition="0"/>
    </format>
    <format dxfId="663">
      <pivotArea type="all" dataOnly="0" outline="0" fieldPosition="0"/>
    </format>
    <format dxfId="662">
      <pivotArea outline="0" collapsedLevelsAreSubtotals="1" fieldPosition="0"/>
    </format>
    <format dxfId="661">
      <pivotArea field="8" type="button" dataOnly="0" labelOnly="1" outline="0" axis="axisRow" fieldPosition="0"/>
    </format>
    <format dxfId="660">
      <pivotArea dataOnly="0" labelOnly="1" fieldPosition="0">
        <references count="1">
          <reference field="8" count="0"/>
        </references>
      </pivotArea>
    </format>
    <format dxfId="659">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67" format="5"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C79114-9EAA-48F6-87D3-EE110A709BCB}" name="PivotTable17"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8">
  <location ref="A96:B100"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4"/>
  </dataFields>
  <formats count="14">
    <format dxfId="682">
      <pivotArea type="all" dataOnly="0" outline="0" fieldPosition="0"/>
    </format>
    <format dxfId="681">
      <pivotArea outline="0" collapsedLevelsAreSubtotals="1" fieldPosition="0"/>
    </format>
    <format dxfId="680">
      <pivotArea field="0" type="button" dataOnly="0" labelOnly="1" outline="0"/>
    </format>
    <format dxfId="679">
      <pivotArea dataOnly="0" labelOnly="1" grandRow="1" outline="0" fieldPosition="0"/>
    </format>
    <format dxfId="678">
      <pivotArea outline="0" collapsedLevelsAreSubtotals="1" fieldPosition="0"/>
    </format>
    <format dxfId="677">
      <pivotArea type="all" dataOnly="0" outline="0" fieldPosition="0"/>
    </format>
    <format dxfId="676">
      <pivotArea outline="0" collapsedLevelsAreSubtotals="1" fieldPosition="0"/>
    </format>
    <format dxfId="675">
      <pivotArea field="6" type="button" dataOnly="0" labelOnly="1" outline="0"/>
    </format>
    <format dxfId="674">
      <pivotArea outline="0" collapsedLevelsAreSubtotals="1" fieldPosition="0"/>
    </format>
    <format dxfId="673">
      <pivotArea type="all" dataOnly="0" outline="0" fieldPosition="0"/>
    </format>
    <format dxfId="672">
      <pivotArea outline="0" collapsedLevelsAreSubtotals="1" fieldPosition="0"/>
    </format>
    <format dxfId="671">
      <pivotArea field="8" type="button" dataOnly="0" labelOnly="1" outline="0" axis="axisRow" fieldPosition="0"/>
    </format>
    <format dxfId="670">
      <pivotArea dataOnly="0" labelOnly="1" fieldPosition="0">
        <references count="1">
          <reference field="8" count="0"/>
        </references>
      </pivotArea>
    </format>
    <format dxfId="669">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67" format="5"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D18C60-FFA2-47B3-9B21-B16358835756}" name="PivotTable8"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7">
    <format dxfId="689">
      <pivotArea type="all" dataOnly="0" outline="0" fieldPosition="0"/>
    </format>
    <format dxfId="688">
      <pivotArea outline="0" collapsedLevelsAreSubtotals="1" fieldPosition="0"/>
    </format>
    <format dxfId="687">
      <pivotArea field="0" type="button" dataOnly="0" labelOnly="1" outline="0" axis="axisRow" fieldPosition="0"/>
    </format>
    <format dxfId="686">
      <pivotArea dataOnly="0" labelOnly="1" fieldPosition="0">
        <references count="1">
          <reference field="0" count="0"/>
        </references>
      </pivotArea>
    </format>
    <format dxfId="685">
      <pivotArea dataOnly="0" labelOnly="1" grandRow="1" outline="0" fieldPosition="0"/>
    </format>
    <format dxfId="684">
      <pivotArea dataOnly="0" labelOnly="1" outline="0" axis="axisValues" fieldPosition="0"/>
    </format>
    <format dxfId="68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D69D4C-829A-4B27-949C-37BA7D912A7F}"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692">
      <pivotArea type="all" dataOnly="0" outline="0" fieldPosition="0"/>
    </format>
    <format dxfId="691">
      <pivotArea outline="0" collapsedLevelsAreSubtotals="1" fieldPosition="0"/>
    </format>
    <format dxfId="69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FC990B-74DB-4385-921C-EF3C0DA004E9}" name="PivotTable18"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7" rowHeaderCaption="">
  <location ref="A103:B107"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Total Sales" fld="11" subtotal="count" baseField="8" baseItem="0" numFmtId="1"/>
  </dataFields>
  <formats count="14">
    <format dxfId="706">
      <pivotArea type="all" dataOnly="0" outline="0" fieldPosition="0"/>
    </format>
    <format dxfId="705">
      <pivotArea outline="0" collapsedLevelsAreSubtotals="1" fieldPosition="0"/>
    </format>
    <format dxfId="704">
      <pivotArea field="0" type="button" dataOnly="0" labelOnly="1" outline="0"/>
    </format>
    <format dxfId="703">
      <pivotArea dataOnly="0" labelOnly="1" grandRow="1" outline="0" fieldPosition="0"/>
    </format>
    <format dxfId="702">
      <pivotArea outline="0" collapsedLevelsAreSubtotals="1" fieldPosition="0"/>
    </format>
    <format dxfId="701">
      <pivotArea type="all" dataOnly="0" outline="0" fieldPosition="0"/>
    </format>
    <format dxfId="700">
      <pivotArea outline="0" collapsedLevelsAreSubtotals="1" fieldPosition="0"/>
    </format>
    <format dxfId="699">
      <pivotArea field="6" type="button" dataOnly="0" labelOnly="1" outline="0"/>
    </format>
    <format dxfId="698">
      <pivotArea outline="0" collapsedLevelsAreSubtotals="1" fieldPosition="0"/>
    </format>
    <format dxfId="697">
      <pivotArea type="all" dataOnly="0" outline="0" fieldPosition="0"/>
    </format>
    <format dxfId="696">
      <pivotArea outline="0" collapsedLevelsAreSubtotals="1" fieldPosition="0"/>
    </format>
    <format dxfId="695">
      <pivotArea field="8" type="button" dataOnly="0" labelOnly="1" outline="0" axis="axisRow" fieldPosition="0"/>
    </format>
    <format dxfId="694">
      <pivotArea dataOnly="0" labelOnly="1" fieldPosition="0">
        <references count="1">
          <reference field="8" count="0"/>
        </references>
      </pivotArea>
    </format>
    <format dxfId="693">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67" format="5"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8" format="2"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5C4F1D4-A5E3-43C1-909A-CD4AEC23965B}" sourceName="Outlet Size">
  <pivotTables>
    <pivotTable tabId="4" name="PivotTable6"/>
    <pivotTable tabId="4" name="PivotTable8"/>
    <pivotTable tabId="4" name="PivotTable10"/>
    <pivotTable tabId="4" name="PivotTable11"/>
    <pivotTable tabId="4" name="PivotTable13"/>
    <pivotTable tabId="4" name="PivotTable14"/>
    <pivotTable tabId="4" name="PivotTable15"/>
    <pivotTable tabId="4" name="PivotTable16"/>
    <pivotTable tabId="4" name="PivotTable17"/>
    <pivotTable tabId="4" name="PivotTable18"/>
  </pivotTables>
  <data>
    <tabular pivotCacheId="87602815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D84B27A-8AB7-4D62-854D-0F4444C21D54}" sourceName="Outlet Location Type">
  <pivotTables>
    <pivotTable tabId="4" name="PivotTable8"/>
    <pivotTable tabId="4" name="PivotTable10"/>
    <pivotTable tabId="4" name="PivotTable11"/>
    <pivotTable tabId="4" name="PivotTable13"/>
    <pivotTable tabId="4" name="PivotTable14"/>
    <pivotTable tabId="4" name="PivotTable15"/>
    <pivotTable tabId="4" name="PivotTable16"/>
    <pivotTable tabId="4" name="PivotTable17"/>
    <pivotTable tabId="4" name="PivotTable18"/>
    <pivotTable tabId="4" name="PivotTable6"/>
  </pivotTables>
  <data>
    <tabular pivotCacheId="87602815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D5FE407-B8D6-4D12-B04D-62CF2DE8B845}" sourceName="Item Type">
  <pivotTables>
    <pivotTable tabId="4" name="PivotTable8"/>
    <pivotTable tabId="4" name="PivotTable10"/>
    <pivotTable tabId="4" name="PivotTable11"/>
    <pivotTable tabId="4" name="PivotTable13"/>
    <pivotTable tabId="4" name="PivotTable14"/>
    <pivotTable tabId="4" name="PivotTable15"/>
    <pivotTable tabId="4" name="PivotTable16"/>
    <pivotTable tabId="4" name="PivotTable17"/>
    <pivotTable tabId="4" name="PivotTable18"/>
    <pivotTable tabId="4" name="PivotTable6"/>
  </pivotTables>
  <data>
    <tabular pivotCacheId="87602815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CA5C35A-19F3-4FBF-BEF3-375DD21DE444}" cache="Slicer_Outlet_Size" caption="Outlet Size" rowHeight="257175"/>
  <slicer name="Outlet Location Type" xr10:uid="{42FB983B-5E1D-4962-B88C-BC70B4E9F9C1}" cache="Slicer_Outlet_Location_Type" caption="Outlet Location Type" rowHeight="257175"/>
  <slicer name="Item Type" xr10:uid="{581F3F85-EF74-4167-8BC8-A7FDFFC7B617}"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2CBCB6E-A2E7-43CE-A42D-5FC865F13E94}" cache="Slicer_Outlet_Size" caption="Outlet Size" style="Ganesh Anaysis" rowHeight="257175"/>
  <slicer name="Outlet Location Type 1" xr10:uid="{A3031135-59C4-4CD1-B687-455E75130823}" cache="Slicer_Outlet_Location_Type" caption="Outlet Location" style="Ganesh Anaysis" rowHeight="257175"/>
  <slicer name="Item Type 1" xr10:uid="{93741778-BD0E-4C5F-AD6B-0CACEB5B3BAB}" cache="Slicer_Item_Type" caption="Item Type" style="Ganesh Ana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4248D27-ACED-4136-B61E-2A3E6AD650C1}"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7742-5825-4528-A583-E3563C84C778}">
  <dimension ref="A2:J107"/>
  <sheetViews>
    <sheetView zoomScale="76" workbookViewId="0">
      <selection activeCell="E87" sqref="E87"/>
    </sheetView>
  </sheetViews>
  <sheetFormatPr defaultRowHeight="15.75" x14ac:dyDescent="0.25"/>
  <cols>
    <col min="1" max="1" width="18.375" bestFit="1" customWidth="1"/>
    <col min="2" max="2" width="18.125" bestFit="1" customWidth="1"/>
    <col min="3" max="3" width="7.5" bestFit="1" customWidth="1"/>
    <col min="4" max="4" width="16.25" bestFit="1" customWidth="1"/>
  </cols>
  <sheetData>
    <row r="2" spans="1:5" x14ac:dyDescent="0.25">
      <c r="A2" s="1"/>
      <c r="B2" s="2"/>
      <c r="C2" s="2"/>
      <c r="D2" s="3"/>
    </row>
    <row r="3" spans="1:5" x14ac:dyDescent="0.25">
      <c r="A3" s="7" t="s">
        <v>1612</v>
      </c>
      <c r="B3" s="8" t="s">
        <v>1613</v>
      </c>
      <c r="C3" s="8" t="s">
        <v>1615</v>
      </c>
      <c r="D3" s="9" t="s">
        <v>1616</v>
      </c>
    </row>
    <row r="4" spans="1:5" x14ac:dyDescent="0.25">
      <c r="A4" s="38">
        <v>1201681.4928000034</v>
      </c>
      <c r="B4" s="39">
        <v>140.99278338613203</v>
      </c>
      <c r="C4" s="39">
        <v>8523</v>
      </c>
      <c r="D4" s="40">
        <v>3.9658570925731196</v>
      </c>
    </row>
    <row r="5" spans="1:5" x14ac:dyDescent="0.25">
      <c r="A5" s="4"/>
      <c r="D5" s="5"/>
    </row>
    <row r="6" spans="1:5" x14ac:dyDescent="0.25">
      <c r="A6" s="4" t="s">
        <v>1611</v>
      </c>
      <c r="B6" t="s">
        <v>1617</v>
      </c>
      <c r="C6" t="s">
        <v>1618</v>
      </c>
      <c r="D6" s="5" t="s">
        <v>1619</v>
      </c>
    </row>
    <row r="7" spans="1:5" x14ac:dyDescent="0.25">
      <c r="A7" s="14">
        <f>GETPIVOTDATA("Sum of Total Sales",$A$3)</f>
        <v>1201681.4928000034</v>
      </c>
      <c r="B7" s="10">
        <f>GETPIVOTDATA("Average Sales",$A$3)</f>
        <v>140.99278338613203</v>
      </c>
      <c r="C7">
        <f>GETPIVOTDATA("Number of Items",$A$3)</f>
        <v>8523</v>
      </c>
      <c r="D7" s="11">
        <f>GETPIVOTDATA("Average of Rating",$A$3)</f>
        <v>3.9658570925731196</v>
      </c>
    </row>
    <row r="8" spans="1:5" x14ac:dyDescent="0.25">
      <c r="A8" s="12"/>
      <c r="B8" s="6"/>
      <c r="C8" s="6"/>
      <c r="D8" s="13"/>
    </row>
    <row r="11" spans="1:5" x14ac:dyDescent="0.25">
      <c r="A11" s="36" t="s">
        <v>1620</v>
      </c>
      <c r="B11" s="37"/>
      <c r="C11" s="2"/>
      <c r="D11" s="2"/>
      <c r="E11" s="3"/>
    </row>
    <row r="12" spans="1:5" x14ac:dyDescent="0.25">
      <c r="A12" s="19" t="s">
        <v>1610</v>
      </c>
      <c r="B12" s="21" t="s">
        <v>1612</v>
      </c>
      <c r="E12" s="5"/>
    </row>
    <row r="13" spans="1:5" x14ac:dyDescent="0.25">
      <c r="A13" s="20" t="s">
        <v>17</v>
      </c>
      <c r="B13" s="17">
        <v>776319.68840000057</v>
      </c>
      <c r="E13" s="5"/>
    </row>
    <row r="14" spans="1:5" x14ac:dyDescent="0.25">
      <c r="A14" s="16" t="s">
        <v>10</v>
      </c>
      <c r="B14" s="18">
        <v>425361.8043999995</v>
      </c>
      <c r="E14" s="5"/>
    </row>
    <row r="15" spans="1:5" x14ac:dyDescent="0.25">
      <c r="E15" s="5"/>
    </row>
    <row r="16" spans="1:5" x14ac:dyDescent="0.25">
      <c r="A16" s="4"/>
      <c r="E16" s="5"/>
    </row>
    <row r="17" spans="1:7" x14ac:dyDescent="0.25">
      <c r="A17" s="4"/>
      <c r="E17" s="5"/>
    </row>
    <row r="18" spans="1:7" x14ac:dyDescent="0.25">
      <c r="A18" s="4"/>
      <c r="E18" s="5"/>
    </row>
    <row r="19" spans="1:7" x14ac:dyDescent="0.25">
      <c r="A19" s="4"/>
      <c r="E19" s="5"/>
    </row>
    <row r="20" spans="1:7" x14ac:dyDescent="0.25">
      <c r="A20" s="12"/>
      <c r="B20" s="6"/>
      <c r="C20" s="6"/>
      <c r="D20" s="6"/>
      <c r="E20" s="13"/>
    </row>
    <row r="23" spans="1:7" x14ac:dyDescent="0.25">
      <c r="A23" s="36" t="s">
        <v>1623</v>
      </c>
      <c r="B23" s="37"/>
      <c r="C23" s="37"/>
      <c r="D23" s="2"/>
      <c r="E23" s="2"/>
      <c r="F23" s="2"/>
      <c r="G23" s="3"/>
    </row>
    <row r="24" spans="1:7" x14ac:dyDescent="0.25">
      <c r="A24" s="19" t="s">
        <v>1612</v>
      </c>
      <c r="B24" s="19" t="s">
        <v>1621</v>
      </c>
      <c r="C24" s="21"/>
      <c r="G24" s="5"/>
    </row>
    <row r="25" spans="1:7" x14ac:dyDescent="0.25">
      <c r="A25" s="19" t="s">
        <v>1610</v>
      </c>
      <c r="B25" s="7" t="s">
        <v>10</v>
      </c>
      <c r="C25" s="9" t="s">
        <v>17</v>
      </c>
      <c r="G25" s="5"/>
    </row>
    <row r="26" spans="1:7" x14ac:dyDescent="0.25">
      <c r="A26" s="20" t="s">
        <v>14</v>
      </c>
      <c r="B26" s="26">
        <v>121349.89940000001</v>
      </c>
      <c r="C26" s="27">
        <v>215047.9126000001</v>
      </c>
      <c r="G26" s="5"/>
    </row>
    <row r="27" spans="1:7" x14ac:dyDescent="0.25">
      <c r="A27" s="15" t="s">
        <v>34</v>
      </c>
      <c r="B27" s="28">
        <v>138685.86819999994</v>
      </c>
      <c r="C27" s="22">
        <v>254464.77940000014</v>
      </c>
      <c r="G27" s="5"/>
    </row>
    <row r="28" spans="1:7" x14ac:dyDescent="0.25">
      <c r="A28" s="16" t="s">
        <v>21</v>
      </c>
      <c r="B28" s="29">
        <v>165326.0368</v>
      </c>
      <c r="C28" s="23">
        <v>306806.99640000012</v>
      </c>
      <c r="G28" s="5"/>
    </row>
    <row r="29" spans="1:7" x14ac:dyDescent="0.25">
      <c r="A29" s="4"/>
      <c r="G29" s="5"/>
    </row>
    <row r="30" spans="1:7" x14ac:dyDescent="0.25">
      <c r="A30" s="4"/>
      <c r="G30" s="5"/>
    </row>
    <row r="31" spans="1:7" x14ac:dyDescent="0.25">
      <c r="A31" s="12"/>
      <c r="B31" s="6"/>
      <c r="C31" s="6"/>
      <c r="D31" s="6"/>
      <c r="E31" s="6"/>
      <c r="F31" s="6"/>
      <c r="G31" s="13"/>
    </row>
    <row r="34" spans="1:10" x14ac:dyDescent="0.25">
      <c r="A34" s="36" t="s">
        <v>1622</v>
      </c>
      <c r="B34" s="37"/>
      <c r="C34" s="2"/>
      <c r="D34" s="2"/>
      <c r="E34" s="2"/>
      <c r="F34" s="2"/>
      <c r="G34" s="2"/>
      <c r="H34" s="2"/>
      <c r="I34" s="2"/>
      <c r="J34" s="3"/>
    </row>
    <row r="35" spans="1:10" x14ac:dyDescent="0.25">
      <c r="A35" s="19" t="s">
        <v>1610</v>
      </c>
      <c r="B35" s="21" t="s">
        <v>1612</v>
      </c>
      <c r="J35" s="5"/>
    </row>
    <row r="36" spans="1:10" x14ac:dyDescent="0.25">
      <c r="A36" s="20" t="s">
        <v>153</v>
      </c>
      <c r="B36" s="17">
        <v>9077.869999999999</v>
      </c>
      <c r="J36" s="5"/>
    </row>
    <row r="37" spans="1:10" x14ac:dyDescent="0.25">
      <c r="A37" s="15" t="s">
        <v>74</v>
      </c>
      <c r="B37" s="24">
        <v>15596.696600000001</v>
      </c>
      <c r="J37" s="5"/>
    </row>
    <row r="38" spans="1:10" x14ac:dyDescent="0.25">
      <c r="A38" s="15" t="s">
        <v>159</v>
      </c>
      <c r="B38" s="24">
        <v>21880.027399999992</v>
      </c>
      <c r="J38" s="5"/>
    </row>
    <row r="39" spans="1:10" x14ac:dyDescent="0.25">
      <c r="A39" s="15" t="s">
        <v>64</v>
      </c>
      <c r="B39" s="24">
        <v>22451.891599999999</v>
      </c>
      <c r="J39" s="5"/>
    </row>
    <row r="40" spans="1:10" x14ac:dyDescent="0.25">
      <c r="A40" s="15" t="s">
        <v>61</v>
      </c>
      <c r="B40" s="24">
        <v>29334.680599999996</v>
      </c>
      <c r="J40" s="5"/>
    </row>
    <row r="41" spans="1:10" x14ac:dyDescent="0.25">
      <c r="A41" s="15" t="s">
        <v>57</v>
      </c>
      <c r="B41" s="24">
        <v>35379.119800000015</v>
      </c>
      <c r="J41" s="5"/>
    </row>
    <row r="42" spans="1:10" x14ac:dyDescent="0.25">
      <c r="A42" s="15" t="s">
        <v>32</v>
      </c>
      <c r="B42" s="24">
        <v>58514.166999999987</v>
      </c>
      <c r="J42" s="5"/>
    </row>
    <row r="43" spans="1:10" x14ac:dyDescent="0.25">
      <c r="A43" s="15" t="s">
        <v>54</v>
      </c>
      <c r="B43" s="24">
        <v>59449.863799999992</v>
      </c>
      <c r="J43" s="5"/>
    </row>
    <row r="44" spans="1:10" x14ac:dyDescent="0.25">
      <c r="A44" s="15" t="s">
        <v>19</v>
      </c>
      <c r="B44" s="24">
        <v>68025.838800000012</v>
      </c>
      <c r="J44" s="5"/>
    </row>
    <row r="45" spans="1:10" x14ac:dyDescent="0.25">
      <c r="A45" s="15" t="s">
        <v>95</v>
      </c>
      <c r="B45" s="24">
        <v>81894.736400000009</v>
      </c>
      <c r="J45" s="5"/>
    </row>
    <row r="46" spans="1:10" x14ac:dyDescent="0.25">
      <c r="A46" s="15" t="s">
        <v>28</v>
      </c>
      <c r="B46" s="24">
        <v>90706.728999999992</v>
      </c>
      <c r="J46" s="5"/>
    </row>
    <row r="47" spans="1:10" x14ac:dyDescent="0.25">
      <c r="A47" s="15" t="s">
        <v>67</v>
      </c>
      <c r="B47" s="24">
        <v>101276.46159999995</v>
      </c>
      <c r="J47" s="5"/>
    </row>
    <row r="48" spans="1:10" x14ac:dyDescent="0.25">
      <c r="A48" s="15" t="s">
        <v>24</v>
      </c>
      <c r="B48" s="24">
        <v>118558.88140000009</v>
      </c>
      <c r="J48" s="5"/>
    </row>
    <row r="49" spans="1:10" x14ac:dyDescent="0.25">
      <c r="A49" s="15" t="s">
        <v>42</v>
      </c>
      <c r="B49" s="24">
        <v>135976.52539999998</v>
      </c>
      <c r="J49" s="5"/>
    </row>
    <row r="50" spans="1:10" x14ac:dyDescent="0.25">
      <c r="A50" s="15" t="s">
        <v>48</v>
      </c>
      <c r="B50" s="24">
        <v>175433.92240000021</v>
      </c>
      <c r="J50" s="5"/>
    </row>
    <row r="51" spans="1:10" x14ac:dyDescent="0.25">
      <c r="A51" s="16" t="s">
        <v>12</v>
      </c>
      <c r="B51" s="18">
        <v>178124.08099999995</v>
      </c>
      <c r="C51" s="6"/>
      <c r="D51" s="6"/>
      <c r="E51" s="6"/>
      <c r="F51" s="6"/>
      <c r="G51" s="6"/>
      <c r="H51" s="6"/>
      <c r="I51" s="6"/>
      <c r="J51" s="13"/>
    </row>
    <row r="54" spans="1:10" x14ac:dyDescent="0.25">
      <c r="A54" s="36" t="s">
        <v>1624</v>
      </c>
      <c r="B54" s="37"/>
      <c r="C54" s="2"/>
      <c r="D54" s="2"/>
      <c r="E54" s="2"/>
      <c r="F54" s="2"/>
      <c r="G54" s="3"/>
    </row>
    <row r="55" spans="1:10" x14ac:dyDescent="0.25">
      <c r="A55" s="19" t="s">
        <v>1610</v>
      </c>
      <c r="B55" s="21" t="s">
        <v>1612</v>
      </c>
      <c r="G55" s="5"/>
    </row>
    <row r="56" spans="1:10" x14ac:dyDescent="0.25">
      <c r="A56" s="20">
        <v>2011</v>
      </c>
      <c r="B56" s="17">
        <v>78131.566599999976</v>
      </c>
      <c r="G56" s="5"/>
    </row>
    <row r="57" spans="1:10" x14ac:dyDescent="0.25">
      <c r="A57" s="15">
        <v>2012</v>
      </c>
      <c r="B57" s="24">
        <v>130476.85979999998</v>
      </c>
      <c r="G57" s="5"/>
    </row>
    <row r="58" spans="1:10" x14ac:dyDescent="0.25">
      <c r="A58" s="15">
        <v>2014</v>
      </c>
      <c r="B58" s="24">
        <v>131809.01560000007</v>
      </c>
      <c r="G58" s="5"/>
    </row>
    <row r="59" spans="1:10" x14ac:dyDescent="0.25">
      <c r="A59" s="15">
        <v>2015</v>
      </c>
      <c r="B59" s="24">
        <v>130942.78019999999</v>
      </c>
      <c r="G59" s="5"/>
    </row>
    <row r="60" spans="1:10" x14ac:dyDescent="0.25">
      <c r="A60" s="15">
        <v>2016</v>
      </c>
      <c r="B60" s="24">
        <v>132113.36980000007</v>
      </c>
      <c r="G60" s="5"/>
    </row>
    <row r="61" spans="1:10" x14ac:dyDescent="0.25">
      <c r="A61" s="15">
        <v>2017</v>
      </c>
      <c r="B61" s="24">
        <v>133103.90699999989</v>
      </c>
      <c r="G61" s="5"/>
    </row>
    <row r="62" spans="1:10" x14ac:dyDescent="0.25">
      <c r="A62" s="15">
        <v>2018</v>
      </c>
      <c r="B62" s="24">
        <v>204522.25700000025</v>
      </c>
      <c r="G62" s="5"/>
    </row>
    <row r="63" spans="1:10" x14ac:dyDescent="0.25">
      <c r="A63" s="15">
        <v>2020</v>
      </c>
      <c r="B63" s="24">
        <v>129103.96039999987</v>
      </c>
      <c r="G63" s="5"/>
    </row>
    <row r="64" spans="1:10" x14ac:dyDescent="0.25">
      <c r="A64" s="16">
        <v>2022</v>
      </c>
      <c r="B64" s="18">
        <v>131477.77639999994</v>
      </c>
      <c r="C64" s="6"/>
      <c r="D64" s="6"/>
      <c r="E64" s="6"/>
      <c r="F64" s="6"/>
      <c r="G64" s="13"/>
    </row>
    <row r="67" spans="1:10" x14ac:dyDescent="0.25">
      <c r="A67" s="36" t="s">
        <v>1625</v>
      </c>
      <c r="B67" s="37"/>
      <c r="C67" s="2"/>
      <c r="D67" s="2"/>
      <c r="E67" s="2"/>
      <c r="F67" s="3"/>
    </row>
    <row r="68" spans="1:10" x14ac:dyDescent="0.25">
      <c r="A68" s="19" t="s">
        <v>1610</v>
      </c>
      <c r="B68" s="21" t="s">
        <v>1612</v>
      </c>
      <c r="F68" s="5"/>
    </row>
    <row r="69" spans="1:10" x14ac:dyDescent="0.25">
      <c r="A69" s="20" t="s">
        <v>30</v>
      </c>
      <c r="B69" s="17">
        <v>248991.58600000024</v>
      </c>
      <c r="F69" s="5"/>
    </row>
    <row r="70" spans="1:10" x14ac:dyDescent="0.25">
      <c r="A70" s="15" t="s">
        <v>15</v>
      </c>
      <c r="B70" s="24">
        <v>507895.7363999993</v>
      </c>
      <c r="F70" s="5"/>
    </row>
    <row r="71" spans="1:10" x14ac:dyDescent="0.25">
      <c r="A71" s="16" t="s">
        <v>26</v>
      </c>
      <c r="B71" s="18">
        <v>444794.17039999936</v>
      </c>
      <c r="F71" s="5"/>
    </row>
    <row r="72" spans="1:10" x14ac:dyDescent="0.25">
      <c r="A72" s="4"/>
      <c r="F72" s="5"/>
    </row>
    <row r="73" spans="1:10" x14ac:dyDescent="0.25">
      <c r="A73" s="4"/>
      <c r="F73" s="5"/>
    </row>
    <row r="74" spans="1:10" x14ac:dyDescent="0.25">
      <c r="A74" s="4"/>
      <c r="F74" s="5"/>
    </row>
    <row r="75" spans="1:10" x14ac:dyDescent="0.25">
      <c r="A75" s="4"/>
      <c r="F75" s="5"/>
    </row>
    <row r="76" spans="1:10" x14ac:dyDescent="0.25">
      <c r="A76" s="12"/>
      <c r="B76" s="6"/>
      <c r="C76" s="6"/>
      <c r="D76" s="6"/>
      <c r="E76" s="6"/>
      <c r="F76" s="13"/>
    </row>
    <row r="79" spans="1:10" x14ac:dyDescent="0.25">
      <c r="A79" s="36" t="s">
        <v>1627</v>
      </c>
      <c r="B79" s="37"/>
      <c r="C79" s="2"/>
      <c r="D79" s="2"/>
      <c r="E79" s="2"/>
      <c r="F79" s="2"/>
      <c r="G79" s="2"/>
      <c r="H79" s="2"/>
      <c r="I79" s="2"/>
      <c r="J79" s="3"/>
    </row>
    <row r="80" spans="1:10" x14ac:dyDescent="0.25">
      <c r="A80" s="19" t="s">
        <v>1610</v>
      </c>
      <c r="B80" s="21" t="s">
        <v>1612</v>
      </c>
      <c r="D80" t="s">
        <v>1626</v>
      </c>
      <c r="E80" t="s">
        <v>1608</v>
      </c>
      <c r="J80" s="5"/>
    </row>
    <row r="81" spans="1:10" x14ac:dyDescent="0.25">
      <c r="A81" s="20" t="s">
        <v>21</v>
      </c>
      <c r="B81" s="17">
        <v>472133.03319999954</v>
      </c>
      <c r="D81" t="str">
        <f>A81</f>
        <v>Tier 3</v>
      </c>
      <c r="E81" s="25">
        <f>GETPIVOTDATA("Total Sales",$A$80,"Outlet Location Type",A81)</f>
        <v>472133.03319999954</v>
      </c>
      <c r="J81" s="5"/>
    </row>
    <row r="82" spans="1:10" x14ac:dyDescent="0.25">
      <c r="A82" s="15" t="s">
        <v>34</v>
      </c>
      <c r="B82" s="24">
        <v>393150.64759999956</v>
      </c>
      <c r="D82" t="str">
        <f>A82</f>
        <v>Tier 2</v>
      </c>
      <c r="E82" s="25">
        <f t="shared" ref="E82:E83" si="0">GETPIVOTDATA("Total Sales",$A$80,"Outlet Location Type",A82)</f>
        <v>393150.64759999956</v>
      </c>
      <c r="J82" s="5"/>
    </row>
    <row r="83" spans="1:10" x14ac:dyDescent="0.25">
      <c r="A83" s="16" t="s">
        <v>14</v>
      </c>
      <c r="B83" s="18">
        <v>336397.81199999945</v>
      </c>
      <c r="D83" t="str">
        <f>A83</f>
        <v>Tier 1</v>
      </c>
      <c r="E83" s="25">
        <f t="shared" si="0"/>
        <v>336397.81199999945</v>
      </c>
      <c r="J83" s="5"/>
    </row>
    <row r="84" spans="1:10" x14ac:dyDescent="0.25">
      <c r="A84" s="4"/>
      <c r="J84" s="5"/>
    </row>
    <row r="85" spans="1:10" x14ac:dyDescent="0.25">
      <c r="A85" s="12"/>
      <c r="B85" s="6"/>
      <c r="C85" s="6"/>
      <c r="D85" s="6"/>
      <c r="E85" s="6"/>
      <c r="F85" s="6"/>
      <c r="G85" s="6"/>
      <c r="H85" s="6"/>
      <c r="I85" s="6"/>
      <c r="J85" s="13"/>
    </row>
    <row r="88" spans="1:10" x14ac:dyDescent="0.25">
      <c r="A88" s="36" t="s">
        <v>1630</v>
      </c>
      <c r="B88" s="37"/>
      <c r="C88" s="2"/>
      <c r="D88" s="2"/>
      <c r="E88" s="3"/>
    </row>
    <row r="89" spans="1:10" x14ac:dyDescent="0.25">
      <c r="A89" s="19" t="s">
        <v>1610</v>
      </c>
      <c r="B89" s="21" t="s">
        <v>1612</v>
      </c>
      <c r="E89" s="5"/>
    </row>
    <row r="90" spans="1:10" x14ac:dyDescent="0.25">
      <c r="A90" s="20" t="s">
        <v>40</v>
      </c>
      <c r="B90" s="17">
        <v>151939.149</v>
      </c>
      <c r="E90" s="5"/>
    </row>
    <row r="91" spans="1:10" x14ac:dyDescent="0.25">
      <c r="A91" s="15" t="s">
        <v>46</v>
      </c>
      <c r="B91" s="24">
        <v>130714.67460000006</v>
      </c>
      <c r="E91" s="5"/>
    </row>
    <row r="92" spans="1:10" x14ac:dyDescent="0.25">
      <c r="A92" s="15" t="s">
        <v>22</v>
      </c>
      <c r="B92" s="24">
        <v>131477.77639999994</v>
      </c>
      <c r="E92" s="5"/>
    </row>
    <row r="93" spans="1:10" x14ac:dyDescent="0.25">
      <c r="A93" s="16" t="s">
        <v>16</v>
      </c>
      <c r="B93" s="18">
        <v>787549.89280000131</v>
      </c>
      <c r="E93" s="5"/>
    </row>
    <row r="94" spans="1:10" x14ac:dyDescent="0.25">
      <c r="A94" s="4"/>
      <c r="E94" s="5"/>
    </row>
    <row r="95" spans="1:10" x14ac:dyDescent="0.25">
      <c r="A95" s="4"/>
      <c r="E95" s="5"/>
    </row>
    <row r="96" spans="1:10" x14ac:dyDescent="0.25">
      <c r="A96" s="19" t="s">
        <v>1610</v>
      </c>
      <c r="B96" s="21" t="s">
        <v>1628</v>
      </c>
      <c r="E96" s="5"/>
    </row>
    <row r="97" spans="1:5" x14ac:dyDescent="0.25">
      <c r="A97" s="20" t="s">
        <v>40</v>
      </c>
      <c r="B97" s="30">
        <v>140.29468975069253</v>
      </c>
      <c r="E97" s="5"/>
    </row>
    <row r="98" spans="1:5" x14ac:dyDescent="0.25">
      <c r="A98" s="15" t="s">
        <v>46</v>
      </c>
      <c r="B98" s="34">
        <v>139.80179101604284</v>
      </c>
      <c r="E98" s="5"/>
    </row>
    <row r="99" spans="1:5" x14ac:dyDescent="0.25">
      <c r="A99" s="15" t="s">
        <v>22</v>
      </c>
      <c r="B99" s="34">
        <v>141.67863836206891</v>
      </c>
      <c r="E99" s="5"/>
    </row>
    <row r="100" spans="1:5" x14ac:dyDescent="0.25">
      <c r="A100" s="16" t="s">
        <v>16</v>
      </c>
      <c r="B100" s="31">
        <v>141.21389506903375</v>
      </c>
      <c r="E100" s="5"/>
    </row>
    <row r="101" spans="1:5" x14ac:dyDescent="0.25">
      <c r="A101" s="4"/>
      <c r="E101" s="5"/>
    </row>
    <row r="102" spans="1:5" x14ac:dyDescent="0.25">
      <c r="A102" s="4"/>
      <c r="E102" s="5"/>
    </row>
    <row r="103" spans="1:5" x14ac:dyDescent="0.25">
      <c r="A103" s="19" t="s">
        <v>1631</v>
      </c>
      <c r="B103" s="21" t="s">
        <v>1629</v>
      </c>
      <c r="E103" s="5"/>
    </row>
    <row r="104" spans="1:5" x14ac:dyDescent="0.25">
      <c r="A104" s="20" t="s">
        <v>40</v>
      </c>
      <c r="B104" s="32">
        <v>1083</v>
      </c>
      <c r="E104" s="5"/>
    </row>
    <row r="105" spans="1:5" x14ac:dyDescent="0.25">
      <c r="A105" s="15" t="s">
        <v>46</v>
      </c>
      <c r="B105" s="35">
        <v>935</v>
      </c>
      <c r="E105" s="5"/>
    </row>
    <row r="106" spans="1:5" x14ac:dyDescent="0.25">
      <c r="A106" s="15" t="s">
        <v>22</v>
      </c>
      <c r="B106" s="35">
        <v>928</v>
      </c>
      <c r="E106" s="5"/>
    </row>
    <row r="107" spans="1:5" x14ac:dyDescent="0.25">
      <c r="A107" s="16" t="s">
        <v>16</v>
      </c>
      <c r="B107" s="33">
        <v>5577</v>
      </c>
      <c r="C107" s="6"/>
      <c r="D107" s="6"/>
      <c r="E107" s="13"/>
    </row>
  </sheetData>
  <mergeCells count="7">
    <mergeCell ref="A79:B79"/>
    <mergeCell ref="A88:B88"/>
    <mergeCell ref="A11:B11"/>
    <mergeCell ref="A23:C23"/>
    <mergeCell ref="A34:B34"/>
    <mergeCell ref="A54:B54"/>
    <mergeCell ref="A67:B6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5537-8C03-427F-8797-06CD272B2D3E}">
  <dimension ref="A1"/>
  <sheetViews>
    <sheetView showGridLines="0" tabSelected="1" zoomScale="57" zoomScaleNormal="57" workbookViewId="0">
      <selection activeCell="AC5" sqref="AC5"/>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79" workbookViewId="0">
      <selection activeCell="B3" sqref="B3"/>
    </sheetView>
  </sheetViews>
  <sheetFormatPr defaultRowHeight="15.75" x14ac:dyDescent="0.25"/>
  <cols>
    <col min="1" max="1" width="17.5" customWidth="1"/>
    <col min="2" max="2" width="17.125" customWidth="1"/>
    <col min="3" max="3" width="15" customWidth="1"/>
    <col min="4" max="4" width="18.75" bestFit="1" customWidth="1"/>
    <col min="5" max="5" width="26" customWidth="1"/>
    <col min="6" max="6" width="16.625" customWidth="1"/>
    <col min="7" max="7" width="20.75" customWidth="1"/>
    <col min="8" max="8" width="12" customWidth="1"/>
    <col min="9" max="9" width="17.75" bestFit="1" customWidth="1"/>
    <col min="10" max="10" width="15.5" bestFit="1" customWidth="1"/>
    <col min="11" max="11" width="13.375" customWidth="1"/>
    <col min="12" max="12" width="11.875" customWidth="1"/>
  </cols>
  <sheetData>
    <row r="1" spans="1:13" x14ac:dyDescent="0.25">
      <c r="A1" t="s">
        <v>0</v>
      </c>
      <c r="B1" t="s">
        <v>1614</v>
      </c>
      <c r="C1" t="s">
        <v>1</v>
      </c>
      <c r="D1" t="s">
        <v>2</v>
      </c>
      <c r="E1" t="s">
        <v>1609</v>
      </c>
      <c r="F1" t="s">
        <v>3</v>
      </c>
      <c r="G1" t="s">
        <v>4</v>
      </c>
      <c r="H1" t="s">
        <v>5</v>
      </c>
      <c r="I1" t="s">
        <v>6</v>
      </c>
      <c r="J1" t="s">
        <v>7</v>
      </c>
      <c r="K1" t="s">
        <v>8</v>
      </c>
      <c r="L1" t="s">
        <v>1611</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Ganesh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nikhil baratam</cp:lastModifiedBy>
  <dcterms:created xsi:type="dcterms:W3CDTF">2024-06-23T13:11:17Z</dcterms:created>
  <dcterms:modified xsi:type="dcterms:W3CDTF">2025-04-05T13:01:25Z</dcterms:modified>
</cp:coreProperties>
</file>